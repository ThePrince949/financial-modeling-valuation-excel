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8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4f7b5c9908051a/OneDrive Desktop/Financial Modeling/Financial Model ^N4 - LOW/"/>
    </mc:Choice>
  </mc:AlternateContent>
  <xr:revisionPtr revIDLastSave="2665" documentId="8_{7E47EB14-3C93-4886-8963-C4E0052D7EFF}" xr6:coauthVersionLast="47" xr6:coauthVersionMax="47" xr10:uidLastSave="{3516E7A6-72F6-4666-8684-7DE82519EFEE}"/>
  <bookViews>
    <workbookView xWindow="-120" yWindow="-120" windowWidth="38640" windowHeight="21120" xr2:uid="{A8A6FC81-E63E-4A3D-A3E5-2BC2CD3D7A8F}"/>
  </bookViews>
  <sheets>
    <sheet name="Cover" sheetId="1" r:id="rId1"/>
    <sheet name="Summary" sheetId="2" r:id="rId2"/>
    <sheet name="Assumptions" sheetId="3" r:id="rId3"/>
    <sheet name="Annual Model" sheetId="4" r:id="rId4"/>
    <sheet name="DCF" sheetId="5" r:id="rId5"/>
    <sheet name="WACC" sheetId="6" r:id="rId6"/>
    <sheet name="Comps" sheetId="7" r:id="rId7"/>
    <sheet name="Multiple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6" i="4" l="1"/>
  <c r="D126" i="4"/>
  <c r="D122" i="4"/>
  <c r="D124" i="4"/>
  <c r="R15" i="5"/>
  <c r="R14" i="5"/>
  <c r="O16" i="5"/>
  <c r="O15" i="5"/>
  <c r="O13" i="5"/>
  <c r="O14" i="5"/>
  <c r="E27" i="2" l="1"/>
  <c r="F27" i="2"/>
  <c r="G27" i="2"/>
  <c r="H27" i="2"/>
  <c r="I27" i="2"/>
  <c r="J27" i="2"/>
  <c r="K27" i="2"/>
  <c r="L27" i="2"/>
  <c r="D27" i="2"/>
  <c r="D26" i="2"/>
  <c r="E26" i="2"/>
  <c r="F26" i="2"/>
  <c r="G26" i="2"/>
  <c r="H26" i="2"/>
  <c r="I26" i="2"/>
  <c r="J26" i="2"/>
  <c r="K26" i="2"/>
  <c r="L26" i="2"/>
  <c r="C26" i="2"/>
  <c r="D25" i="2"/>
  <c r="E25" i="2"/>
  <c r="F25" i="2"/>
  <c r="G25" i="2"/>
  <c r="H25" i="2"/>
  <c r="I25" i="2"/>
  <c r="J25" i="2"/>
  <c r="K25" i="2"/>
  <c r="L25" i="2"/>
  <c r="C25" i="2"/>
  <c r="D24" i="2"/>
  <c r="E24" i="2"/>
  <c r="F24" i="2"/>
  <c r="G24" i="2"/>
  <c r="H24" i="2"/>
  <c r="I24" i="2"/>
  <c r="J24" i="2"/>
  <c r="K24" i="2"/>
  <c r="L24" i="2"/>
  <c r="C24" i="2"/>
  <c r="E23" i="2"/>
  <c r="F23" i="2"/>
  <c r="G23" i="2"/>
  <c r="H23" i="2"/>
  <c r="I23" i="2"/>
  <c r="J23" i="2"/>
  <c r="K23" i="2"/>
  <c r="L23" i="2"/>
  <c r="D23" i="2"/>
  <c r="D22" i="2"/>
  <c r="E22" i="2"/>
  <c r="F22" i="2"/>
  <c r="G22" i="2"/>
  <c r="H22" i="2"/>
  <c r="I22" i="2"/>
  <c r="J22" i="2"/>
  <c r="K22" i="2"/>
  <c r="L22" i="2"/>
  <c r="C22" i="2"/>
  <c r="D21" i="2"/>
  <c r="E21" i="2"/>
  <c r="F21" i="2"/>
  <c r="G21" i="2"/>
  <c r="H21" i="2"/>
  <c r="I21" i="2"/>
  <c r="J21" i="2"/>
  <c r="K21" i="2"/>
  <c r="L21" i="2"/>
  <c r="C21" i="2"/>
  <c r="D20" i="2"/>
  <c r="E20" i="2"/>
  <c r="F20" i="2"/>
  <c r="G20" i="2"/>
  <c r="H20" i="2"/>
  <c r="I20" i="2"/>
  <c r="J20" i="2"/>
  <c r="K20" i="2"/>
  <c r="L20" i="2"/>
  <c r="C20" i="2"/>
  <c r="E19" i="2"/>
  <c r="F19" i="2"/>
  <c r="G19" i="2"/>
  <c r="H19" i="2"/>
  <c r="I19" i="2"/>
  <c r="J19" i="2"/>
  <c r="K19" i="2"/>
  <c r="L19" i="2"/>
  <c r="D19" i="2"/>
  <c r="D18" i="2"/>
  <c r="E18" i="2"/>
  <c r="F18" i="2"/>
  <c r="G18" i="2"/>
  <c r="H18" i="2"/>
  <c r="I18" i="2"/>
  <c r="J18" i="2"/>
  <c r="K18" i="2"/>
  <c r="L18" i="2"/>
  <c r="C18" i="2"/>
  <c r="D17" i="2"/>
  <c r="E17" i="2"/>
  <c r="F17" i="2"/>
  <c r="G17" i="2"/>
  <c r="H17" i="2"/>
  <c r="I17" i="2"/>
  <c r="J17" i="2"/>
  <c r="K17" i="2"/>
  <c r="L17" i="2"/>
  <c r="C17" i="2"/>
  <c r="D16" i="2"/>
  <c r="E16" i="2"/>
  <c r="F16" i="2"/>
  <c r="G16" i="2"/>
  <c r="H16" i="2"/>
  <c r="I16" i="2"/>
  <c r="J16" i="2"/>
  <c r="K16" i="2"/>
  <c r="L16" i="2"/>
  <c r="C16" i="2"/>
  <c r="E15" i="2"/>
  <c r="F15" i="2"/>
  <c r="G15" i="2"/>
  <c r="H15" i="2"/>
  <c r="I15" i="2"/>
  <c r="J15" i="2"/>
  <c r="K15" i="2"/>
  <c r="L15" i="2"/>
  <c r="D15" i="2"/>
  <c r="D14" i="2"/>
  <c r="E14" i="2"/>
  <c r="F14" i="2"/>
  <c r="G14" i="2"/>
  <c r="H14" i="2"/>
  <c r="I14" i="2"/>
  <c r="J14" i="2"/>
  <c r="K14" i="2"/>
  <c r="L14" i="2"/>
  <c r="C14" i="2"/>
  <c r="D13" i="2"/>
  <c r="E13" i="2"/>
  <c r="F13" i="2"/>
  <c r="G13" i="2"/>
  <c r="H13" i="2"/>
  <c r="I13" i="2"/>
  <c r="J13" i="2"/>
  <c r="K13" i="2"/>
  <c r="L13" i="2"/>
  <c r="C13" i="2"/>
  <c r="E12" i="2"/>
  <c r="F12" i="2"/>
  <c r="G12" i="2"/>
  <c r="H12" i="2"/>
  <c r="I12" i="2"/>
  <c r="J12" i="2"/>
  <c r="K12" i="2"/>
  <c r="L12" i="2"/>
  <c r="D12" i="2"/>
  <c r="D11" i="2"/>
  <c r="E11" i="2"/>
  <c r="F11" i="2"/>
  <c r="G11" i="2"/>
  <c r="H11" i="2"/>
  <c r="I11" i="2"/>
  <c r="J11" i="2"/>
  <c r="K11" i="2"/>
  <c r="L11" i="2"/>
  <c r="C11" i="2"/>
  <c r="D18" i="8"/>
  <c r="E18" i="8"/>
  <c r="F18" i="8"/>
  <c r="G18" i="8"/>
  <c r="J18" i="8"/>
  <c r="K18" i="8"/>
  <c r="L18" i="8"/>
  <c r="C18" i="8"/>
  <c r="D17" i="8"/>
  <c r="E17" i="8"/>
  <c r="F17" i="8"/>
  <c r="G17" i="8"/>
  <c r="H17" i="8"/>
  <c r="I17" i="8"/>
  <c r="J17" i="8"/>
  <c r="K17" i="8"/>
  <c r="L17" i="8"/>
  <c r="C17" i="8"/>
  <c r="D16" i="8"/>
  <c r="E16" i="8"/>
  <c r="F16" i="8"/>
  <c r="G16" i="8"/>
  <c r="H16" i="8"/>
  <c r="I16" i="8"/>
  <c r="J16" i="8"/>
  <c r="K16" i="8"/>
  <c r="L16" i="8"/>
  <c r="C16" i="8"/>
  <c r="D13" i="8"/>
  <c r="E13" i="8"/>
  <c r="F13" i="8"/>
  <c r="G13" i="8"/>
  <c r="J13" i="8"/>
  <c r="K13" i="8"/>
  <c r="L13" i="8"/>
  <c r="C13" i="8"/>
  <c r="D12" i="8"/>
  <c r="E12" i="8"/>
  <c r="F12" i="8"/>
  <c r="G12" i="8"/>
  <c r="H12" i="8"/>
  <c r="I12" i="8"/>
  <c r="J12" i="8"/>
  <c r="K12" i="8"/>
  <c r="L12" i="8"/>
  <c r="C12" i="8"/>
  <c r="D11" i="8"/>
  <c r="E11" i="8"/>
  <c r="F11" i="8"/>
  <c r="G11" i="8"/>
  <c r="H11" i="8"/>
  <c r="I11" i="8"/>
  <c r="J11" i="8"/>
  <c r="K11" i="8"/>
  <c r="L11" i="8"/>
  <c r="C11" i="8"/>
  <c r="D10" i="8"/>
  <c r="E10" i="8"/>
  <c r="F10" i="8"/>
  <c r="G10" i="8"/>
  <c r="H10" i="8"/>
  <c r="I10" i="8"/>
  <c r="J10" i="8"/>
  <c r="K10" i="8"/>
  <c r="L10" i="8"/>
  <c r="C10" i="8"/>
  <c r="V34" i="7" l="1"/>
  <c r="U35" i="7"/>
  <c r="T36" i="7"/>
  <c r="T35" i="7"/>
  <c r="O35" i="7"/>
  <c r="P35" i="7"/>
  <c r="R34" i="7"/>
  <c r="S34" i="7"/>
  <c r="F34" i="7"/>
  <c r="F35" i="7"/>
  <c r="V19" i="7"/>
  <c r="U19" i="7"/>
  <c r="T19" i="7"/>
  <c r="S19" i="7"/>
  <c r="R19" i="7"/>
  <c r="Q19" i="7"/>
  <c r="P19" i="7"/>
  <c r="O19" i="7"/>
  <c r="N19" i="7"/>
  <c r="D19" i="7"/>
  <c r="V21" i="7"/>
  <c r="U21" i="7"/>
  <c r="T21" i="7"/>
  <c r="S21" i="7"/>
  <c r="R21" i="7"/>
  <c r="Q21" i="7"/>
  <c r="P21" i="7"/>
  <c r="O21" i="7"/>
  <c r="N21" i="7"/>
  <c r="D21" i="7"/>
  <c r="V20" i="7"/>
  <c r="U20" i="7"/>
  <c r="T20" i="7"/>
  <c r="S20" i="7"/>
  <c r="R20" i="7"/>
  <c r="Q20" i="7"/>
  <c r="P20" i="7"/>
  <c r="O20" i="7"/>
  <c r="N20" i="7"/>
  <c r="D20" i="7"/>
  <c r="V18" i="7"/>
  <c r="U18" i="7"/>
  <c r="T18" i="7"/>
  <c r="S18" i="7"/>
  <c r="R18" i="7"/>
  <c r="Q18" i="7"/>
  <c r="P18" i="7"/>
  <c r="O18" i="7"/>
  <c r="N18" i="7"/>
  <c r="D18" i="7"/>
  <c r="R17" i="7"/>
  <c r="V17" i="7"/>
  <c r="U17" i="7"/>
  <c r="T17" i="7"/>
  <c r="S17" i="7"/>
  <c r="Q17" i="7"/>
  <c r="P17" i="7"/>
  <c r="O17" i="7"/>
  <c r="N17" i="7"/>
  <c r="D17" i="7"/>
  <c r="W24" i="7"/>
  <c r="X24" i="7"/>
  <c r="F24" i="7"/>
  <c r="M24" i="7" s="1"/>
  <c r="N46" i="7" s="1"/>
  <c r="X12" i="7"/>
  <c r="X13" i="7"/>
  <c r="X14" i="7"/>
  <c r="X15" i="7"/>
  <c r="X11" i="7"/>
  <c r="W12" i="7"/>
  <c r="W13" i="7"/>
  <c r="W14" i="7"/>
  <c r="W15" i="7"/>
  <c r="W11" i="7"/>
  <c r="J15" i="7"/>
  <c r="F15" i="7"/>
  <c r="F37" i="7" s="1"/>
  <c r="J14" i="7"/>
  <c r="F14" i="7"/>
  <c r="F36" i="7" s="1"/>
  <c r="J13" i="7"/>
  <c r="M13" i="7" s="1"/>
  <c r="Q35" i="7" s="1"/>
  <c r="F13" i="7"/>
  <c r="V35" i="7" s="1"/>
  <c r="J12" i="7"/>
  <c r="F12" i="7"/>
  <c r="M12" i="7" s="1"/>
  <c r="N34" i="7" s="1"/>
  <c r="J11" i="7"/>
  <c r="W21" i="7" l="1"/>
  <c r="Q34" i="7"/>
  <c r="T37" i="7"/>
  <c r="U34" i="7"/>
  <c r="Q46" i="7"/>
  <c r="R46" i="7"/>
  <c r="M15" i="7"/>
  <c r="X19" i="7"/>
  <c r="P34" i="7"/>
  <c r="V37" i="7"/>
  <c r="P46" i="7"/>
  <c r="S46" i="7"/>
  <c r="M14" i="7"/>
  <c r="O34" i="7"/>
  <c r="U37" i="7"/>
  <c r="F46" i="7"/>
  <c r="O46" i="7"/>
  <c r="M35" i="7"/>
  <c r="S35" i="7"/>
  <c r="V36" i="7"/>
  <c r="M46" i="7"/>
  <c r="T46" i="7"/>
  <c r="W19" i="7"/>
  <c r="M34" i="7"/>
  <c r="R35" i="7"/>
  <c r="U36" i="7"/>
  <c r="V46" i="7"/>
  <c r="N35" i="7"/>
  <c r="T34" i="7"/>
  <c r="U46" i="7"/>
  <c r="W20" i="7"/>
  <c r="X21" i="7"/>
  <c r="X20" i="7"/>
  <c r="W18" i="7"/>
  <c r="W17" i="7"/>
  <c r="X18" i="7"/>
  <c r="X17" i="7"/>
  <c r="P37" i="7" l="1"/>
  <c r="Q37" i="7"/>
  <c r="R37" i="7"/>
  <c r="S37" i="7"/>
  <c r="N37" i="7"/>
  <c r="M37" i="7"/>
  <c r="O37" i="7"/>
  <c r="O36" i="7"/>
  <c r="P36" i="7"/>
  <c r="M36" i="7"/>
  <c r="Q36" i="7"/>
  <c r="R36" i="7"/>
  <c r="N36" i="7"/>
  <c r="S36" i="7"/>
  <c r="F11" i="7" l="1"/>
  <c r="R29" i="5"/>
  <c r="R25" i="5"/>
  <c r="R19" i="5"/>
  <c r="R12" i="5"/>
  <c r="O25" i="5"/>
  <c r="O19" i="5"/>
  <c r="O12" i="5"/>
  <c r="J37" i="5"/>
  <c r="K37" i="5"/>
  <c r="L37" i="5"/>
  <c r="I36" i="5"/>
  <c r="J36" i="5"/>
  <c r="K36" i="5"/>
  <c r="L36" i="5"/>
  <c r="H36" i="5"/>
  <c r="J35" i="5"/>
  <c r="K35" i="5" s="1"/>
  <c r="L35" i="5" s="1"/>
  <c r="I35" i="5"/>
  <c r="H35" i="5"/>
  <c r="C15" i="6"/>
  <c r="C11" i="6"/>
  <c r="C13" i="6"/>
  <c r="J11" i="6"/>
  <c r="J10" i="6"/>
  <c r="J9" i="6"/>
  <c r="J8" i="6"/>
  <c r="C10" i="6"/>
  <c r="I12" i="6"/>
  <c r="F19" i="6"/>
  <c r="F14" i="6"/>
  <c r="F11" i="6"/>
  <c r="F10" i="6"/>
  <c r="F9" i="6"/>
  <c r="F8" i="6"/>
  <c r="E32" i="5"/>
  <c r="F32" i="5"/>
  <c r="G32" i="5"/>
  <c r="K32" i="5"/>
  <c r="L32" i="5"/>
  <c r="D32" i="5"/>
  <c r="C31" i="5"/>
  <c r="D31" i="5"/>
  <c r="E31" i="5"/>
  <c r="F31" i="5"/>
  <c r="G31" i="5"/>
  <c r="J31" i="5"/>
  <c r="K31" i="5"/>
  <c r="L31" i="5"/>
  <c r="D30" i="5"/>
  <c r="E30" i="5"/>
  <c r="F30" i="5"/>
  <c r="G30" i="5"/>
  <c r="J30" i="5"/>
  <c r="K30" i="5"/>
  <c r="L30" i="5"/>
  <c r="C30" i="5"/>
  <c r="D29" i="5"/>
  <c r="E29" i="5"/>
  <c r="F29" i="5"/>
  <c r="G29" i="5"/>
  <c r="J29" i="5"/>
  <c r="K29" i="5"/>
  <c r="L29" i="5"/>
  <c r="C29" i="5"/>
  <c r="D28" i="5"/>
  <c r="E28" i="5"/>
  <c r="F28" i="5"/>
  <c r="G28" i="5"/>
  <c r="H28" i="5"/>
  <c r="I28" i="5"/>
  <c r="J28" i="5"/>
  <c r="K28" i="5"/>
  <c r="L28" i="5"/>
  <c r="C28" i="5"/>
  <c r="D27" i="5"/>
  <c r="E27" i="5"/>
  <c r="F27" i="5"/>
  <c r="G27" i="5"/>
  <c r="H27" i="5"/>
  <c r="I27" i="5"/>
  <c r="J27" i="5"/>
  <c r="K27" i="5"/>
  <c r="L27" i="5"/>
  <c r="C27" i="5"/>
  <c r="D26" i="5"/>
  <c r="E26" i="5"/>
  <c r="F26" i="5"/>
  <c r="G26" i="5"/>
  <c r="H26" i="5"/>
  <c r="I26" i="5"/>
  <c r="J26" i="5"/>
  <c r="K26" i="5"/>
  <c r="L26" i="5"/>
  <c r="C26" i="5"/>
  <c r="D25" i="5"/>
  <c r="E25" i="5"/>
  <c r="F25" i="5"/>
  <c r="G25" i="5"/>
  <c r="H25" i="5"/>
  <c r="I25" i="5"/>
  <c r="J25" i="5"/>
  <c r="K25" i="5"/>
  <c r="L25" i="5"/>
  <c r="C25" i="5"/>
  <c r="D23" i="5"/>
  <c r="E23" i="5"/>
  <c r="F23" i="5"/>
  <c r="G23" i="5"/>
  <c r="H23" i="5"/>
  <c r="I23" i="5"/>
  <c r="J23" i="5"/>
  <c r="K23" i="5"/>
  <c r="L23" i="5"/>
  <c r="D24" i="5"/>
  <c r="E24" i="5"/>
  <c r="F24" i="5"/>
  <c r="G24" i="5"/>
  <c r="H24" i="5"/>
  <c r="I24" i="5"/>
  <c r="J24" i="5"/>
  <c r="K24" i="5"/>
  <c r="L24" i="5"/>
  <c r="C23" i="5"/>
  <c r="C24" i="5"/>
  <c r="D22" i="5"/>
  <c r="E22" i="5"/>
  <c r="F22" i="5"/>
  <c r="G22" i="5"/>
  <c r="H22" i="5"/>
  <c r="I22" i="5"/>
  <c r="J22" i="5"/>
  <c r="K22" i="5"/>
  <c r="L22" i="5"/>
  <c r="C22" i="5"/>
  <c r="E21" i="5"/>
  <c r="F21" i="5"/>
  <c r="G21" i="5"/>
  <c r="H21" i="5"/>
  <c r="I21" i="5"/>
  <c r="J21" i="5"/>
  <c r="K21" i="5"/>
  <c r="L21" i="5"/>
  <c r="D21" i="5"/>
  <c r="C20" i="5"/>
  <c r="D17" i="4"/>
  <c r="D17" i="5"/>
  <c r="E17" i="5"/>
  <c r="F17" i="5"/>
  <c r="G17" i="5"/>
  <c r="H17" i="5"/>
  <c r="I17" i="5"/>
  <c r="J17" i="5"/>
  <c r="K17" i="5"/>
  <c r="L17" i="5"/>
  <c r="C17" i="5"/>
  <c r="D16" i="5"/>
  <c r="E16" i="5"/>
  <c r="F16" i="5"/>
  <c r="G16" i="5"/>
  <c r="H16" i="5"/>
  <c r="I16" i="5"/>
  <c r="J16" i="5"/>
  <c r="K16" i="5"/>
  <c r="L16" i="5"/>
  <c r="C16" i="5"/>
  <c r="D20" i="5"/>
  <c r="E20" i="5"/>
  <c r="F20" i="5"/>
  <c r="G20" i="5"/>
  <c r="H20" i="5"/>
  <c r="I20" i="5"/>
  <c r="J20" i="5"/>
  <c r="K20" i="5"/>
  <c r="L20" i="5"/>
  <c r="C17" i="4"/>
  <c r="D19" i="5"/>
  <c r="E19" i="5"/>
  <c r="F19" i="5"/>
  <c r="G19" i="5"/>
  <c r="H19" i="5"/>
  <c r="I19" i="5"/>
  <c r="J19" i="5"/>
  <c r="K19" i="5"/>
  <c r="L19" i="5"/>
  <c r="C19" i="5"/>
  <c r="D18" i="5"/>
  <c r="E18" i="5"/>
  <c r="F18" i="5"/>
  <c r="G18" i="5"/>
  <c r="H18" i="5"/>
  <c r="I18" i="5"/>
  <c r="J18" i="5"/>
  <c r="K18" i="5"/>
  <c r="L18" i="5"/>
  <c r="C18" i="5"/>
  <c r="D15" i="5"/>
  <c r="E15" i="5"/>
  <c r="F15" i="5"/>
  <c r="G15" i="5"/>
  <c r="H15" i="5"/>
  <c r="I15" i="5"/>
  <c r="J15" i="5"/>
  <c r="K15" i="5"/>
  <c r="L15" i="5"/>
  <c r="C15" i="5"/>
  <c r="D14" i="5"/>
  <c r="E14" i="5"/>
  <c r="F14" i="5"/>
  <c r="G14" i="5"/>
  <c r="H14" i="5"/>
  <c r="I14" i="5"/>
  <c r="J14" i="5"/>
  <c r="K14" i="5"/>
  <c r="L14" i="5"/>
  <c r="C14" i="5"/>
  <c r="D13" i="5"/>
  <c r="E13" i="5"/>
  <c r="F13" i="5"/>
  <c r="G13" i="5"/>
  <c r="H13" i="5"/>
  <c r="I13" i="5"/>
  <c r="J13" i="5"/>
  <c r="K13" i="5"/>
  <c r="L13" i="5"/>
  <c r="C13" i="5"/>
  <c r="D12" i="5"/>
  <c r="E12" i="5"/>
  <c r="F12" i="5"/>
  <c r="G12" i="5"/>
  <c r="H12" i="5"/>
  <c r="I12" i="5"/>
  <c r="J12" i="5"/>
  <c r="K12" i="5"/>
  <c r="L12" i="5"/>
  <c r="C12" i="5"/>
  <c r="D11" i="5"/>
  <c r="E11" i="5"/>
  <c r="F11" i="5"/>
  <c r="G11" i="5"/>
  <c r="H11" i="5"/>
  <c r="I11" i="5"/>
  <c r="J11" i="5"/>
  <c r="K11" i="5"/>
  <c r="L11" i="5"/>
  <c r="C11" i="5"/>
  <c r="I23" i="4"/>
  <c r="H135" i="4"/>
  <c r="H20" i="3"/>
  <c r="H18" i="4" s="1"/>
  <c r="E21" i="3"/>
  <c r="F21" i="3"/>
  <c r="G21" i="3"/>
  <c r="D21" i="3"/>
  <c r="D20" i="3"/>
  <c r="E20" i="3"/>
  <c r="F20" i="3"/>
  <c r="G20" i="3"/>
  <c r="C20" i="3"/>
  <c r="I113" i="4"/>
  <c r="J113" i="4"/>
  <c r="K113" i="4"/>
  <c r="L113" i="4"/>
  <c r="H113" i="4"/>
  <c r="I112" i="4"/>
  <c r="J112" i="4"/>
  <c r="K112" i="4"/>
  <c r="L112" i="4"/>
  <c r="H112" i="4"/>
  <c r="I111" i="4"/>
  <c r="J111" i="4"/>
  <c r="K111" i="4"/>
  <c r="L111" i="4"/>
  <c r="H111" i="4"/>
  <c r="D31" i="4"/>
  <c r="E31" i="4"/>
  <c r="F31" i="4"/>
  <c r="G31" i="4"/>
  <c r="C31" i="4"/>
  <c r="T33" i="7" l="1"/>
  <c r="F33" i="7"/>
  <c r="U33" i="7"/>
  <c r="V33" i="7"/>
  <c r="F20" i="7"/>
  <c r="M11" i="7"/>
  <c r="F21" i="7"/>
  <c r="F18" i="7"/>
  <c r="F19" i="7"/>
  <c r="F17" i="7"/>
  <c r="J12" i="6"/>
  <c r="I20" i="3"/>
  <c r="O33" i="7" l="1"/>
  <c r="P33" i="7"/>
  <c r="Q33" i="7"/>
  <c r="R33" i="7"/>
  <c r="M33" i="7"/>
  <c r="S33" i="7"/>
  <c r="N33" i="7"/>
  <c r="V42" i="7"/>
  <c r="V41" i="7"/>
  <c r="V40" i="7"/>
  <c r="V39" i="7"/>
  <c r="V43" i="7"/>
  <c r="U41" i="7"/>
  <c r="U40" i="7"/>
  <c r="U39" i="7"/>
  <c r="U43" i="7"/>
  <c r="U42" i="7"/>
  <c r="F42" i="7"/>
  <c r="F39" i="7"/>
  <c r="F43" i="7"/>
  <c r="F41" i="7"/>
  <c r="F40" i="7"/>
  <c r="T41" i="7"/>
  <c r="T40" i="7"/>
  <c r="T43" i="7"/>
  <c r="T42" i="7"/>
  <c r="T39" i="7"/>
  <c r="M21" i="7"/>
  <c r="M19" i="7"/>
  <c r="M17" i="7"/>
  <c r="M18" i="7"/>
  <c r="M20" i="7"/>
  <c r="J20" i="3"/>
  <c r="I18" i="4"/>
  <c r="N39" i="7" l="1"/>
  <c r="N43" i="7"/>
  <c r="N41" i="7"/>
  <c r="N42" i="7"/>
  <c r="N40" i="7"/>
  <c r="M42" i="7"/>
  <c r="M39" i="7"/>
  <c r="M40" i="7"/>
  <c r="M41" i="7"/>
  <c r="M43" i="7"/>
  <c r="S40" i="7"/>
  <c r="S43" i="7"/>
  <c r="S42" i="7"/>
  <c r="S39" i="7"/>
  <c r="S41" i="7"/>
  <c r="R40" i="7"/>
  <c r="R43" i="7"/>
  <c r="R42" i="7"/>
  <c r="R39" i="7"/>
  <c r="R41" i="7"/>
  <c r="Q43" i="7"/>
  <c r="Q42" i="7"/>
  <c r="Q39" i="7"/>
  <c r="Q40" i="7"/>
  <c r="Q41" i="7"/>
  <c r="P43" i="7"/>
  <c r="P42" i="7"/>
  <c r="P39" i="7"/>
  <c r="P41" i="7"/>
  <c r="P40" i="7"/>
  <c r="O39" i="7"/>
  <c r="O42" i="7"/>
  <c r="O41" i="7"/>
  <c r="O40" i="7"/>
  <c r="O43" i="7"/>
  <c r="K20" i="3"/>
  <c r="J18" i="4"/>
  <c r="L20" i="3" l="1"/>
  <c r="L18" i="4" s="1"/>
  <c r="K18" i="4"/>
  <c r="I262" i="4" l="1"/>
  <c r="J262" i="4"/>
  <c r="K262" i="4"/>
  <c r="L262" i="4"/>
  <c r="H262" i="4"/>
  <c r="G257" i="4"/>
  <c r="H254" i="4" s="1"/>
  <c r="H245" i="4"/>
  <c r="G248" i="4"/>
  <c r="G239" i="4"/>
  <c r="H236" i="4" s="1"/>
  <c r="G230" i="4"/>
  <c r="H227" i="4" s="1"/>
  <c r="G221" i="4"/>
  <c r="H218" i="4" s="1"/>
  <c r="G212" i="4"/>
  <c r="H209" i="4" s="1"/>
  <c r="H203" i="4"/>
  <c r="G265" i="4"/>
  <c r="H230" i="4" l="1"/>
  <c r="I227" i="4" s="1"/>
  <c r="H221" i="4"/>
  <c r="I218" i="4" s="1"/>
  <c r="H222" i="4"/>
  <c r="H212" i="4"/>
  <c r="I209" i="4" s="1"/>
  <c r="H258" i="4"/>
  <c r="H257" i="4"/>
  <c r="I254" i="4" s="1"/>
  <c r="H239" i="4"/>
  <c r="I236" i="4" s="1"/>
  <c r="H240" i="4"/>
  <c r="H248" i="4"/>
  <c r="I245" i="4" s="1"/>
  <c r="I248" i="4" l="1"/>
  <c r="J245" i="4" s="1"/>
  <c r="I221" i="4"/>
  <c r="J218" i="4" s="1"/>
  <c r="I212" i="4"/>
  <c r="J209" i="4" s="1"/>
  <c r="J213" i="4" s="1"/>
  <c r="I230" i="4"/>
  <c r="J227" i="4" s="1"/>
  <c r="I231" i="4"/>
  <c r="H213" i="4"/>
  <c r="I239" i="4"/>
  <c r="J236" i="4" s="1"/>
  <c r="H231" i="4"/>
  <c r="I257" i="4"/>
  <c r="J254" i="4" s="1"/>
  <c r="I258" i="4"/>
  <c r="H249" i="4"/>
  <c r="J212" i="4"/>
  <c r="K209" i="4" s="1"/>
  <c r="J230" i="4" l="1"/>
  <c r="K227" i="4" s="1"/>
  <c r="J231" i="4"/>
  <c r="I222" i="4"/>
  <c r="J239" i="4"/>
  <c r="K236" i="4" s="1"/>
  <c r="J240" i="4"/>
  <c r="J248" i="4"/>
  <c r="K245" i="4" s="1"/>
  <c r="J221" i="4"/>
  <c r="K218" i="4" s="1"/>
  <c r="J222" i="4"/>
  <c r="I240" i="4"/>
  <c r="I249" i="4"/>
  <c r="J257" i="4"/>
  <c r="K254" i="4" s="1"/>
  <c r="J258" i="4"/>
  <c r="H264" i="4"/>
  <c r="I213" i="4"/>
  <c r="I264" i="4" s="1"/>
  <c r="K212" i="4"/>
  <c r="L209" i="4" s="1"/>
  <c r="K213" i="4"/>
  <c r="J249" i="4" l="1"/>
  <c r="J264" i="4" s="1"/>
  <c r="K248" i="4"/>
  <c r="L245" i="4" s="1"/>
  <c r="K249" i="4"/>
  <c r="K257" i="4"/>
  <c r="L254" i="4" s="1"/>
  <c r="K258" i="4"/>
  <c r="K239" i="4"/>
  <c r="L236" i="4" s="1"/>
  <c r="K240" i="4"/>
  <c r="K230" i="4"/>
  <c r="L227" i="4" s="1"/>
  <c r="K231" i="4"/>
  <c r="K221" i="4"/>
  <c r="L218" i="4" s="1"/>
  <c r="K222" i="4"/>
  <c r="K264" i="4" s="1"/>
  <c r="L212" i="4"/>
  <c r="L213" i="4"/>
  <c r="L239" i="4" l="1"/>
  <c r="L240" i="4" s="1"/>
  <c r="L257" i="4"/>
  <c r="L258" i="4"/>
  <c r="L221" i="4"/>
  <c r="L222" i="4"/>
  <c r="L248" i="4"/>
  <c r="L249" i="4" s="1"/>
  <c r="L230" i="4"/>
  <c r="L231" i="4"/>
  <c r="L264" i="4" l="1"/>
  <c r="H53" i="4" l="1"/>
  <c r="I53" i="4" s="1"/>
  <c r="J53" i="4" s="1"/>
  <c r="K53" i="4" s="1"/>
  <c r="L53" i="4" s="1"/>
  <c r="H50" i="4"/>
  <c r="I50" i="4" s="1"/>
  <c r="J50" i="4" s="1"/>
  <c r="K50" i="4" s="1"/>
  <c r="L50" i="4" s="1"/>
  <c r="H41" i="4"/>
  <c r="I41" i="4" s="1"/>
  <c r="J41" i="4" s="1"/>
  <c r="K41" i="4" s="1"/>
  <c r="L41" i="4" s="1"/>
  <c r="H58" i="4"/>
  <c r="I58" i="4" s="1"/>
  <c r="J58" i="4" s="1"/>
  <c r="K58" i="4" s="1"/>
  <c r="L58" i="4" s="1"/>
  <c r="H49" i="4"/>
  <c r="I49" i="4" s="1"/>
  <c r="J49" i="4" s="1"/>
  <c r="K49" i="4" s="1"/>
  <c r="L49" i="4" s="1"/>
  <c r="H36" i="4"/>
  <c r="I36" i="4" s="1"/>
  <c r="J36" i="4" s="1"/>
  <c r="K36" i="4" s="1"/>
  <c r="L36" i="4" s="1"/>
  <c r="H69" i="4" l="1"/>
  <c r="I69" i="4" s="1"/>
  <c r="J69" i="4" s="1"/>
  <c r="K69" i="4" s="1"/>
  <c r="L69" i="4" s="1"/>
  <c r="H67" i="4"/>
  <c r="I67" i="4" s="1"/>
  <c r="J67" i="4" s="1"/>
  <c r="K67" i="4" s="1"/>
  <c r="L67" i="4" s="1"/>
  <c r="H61" i="4"/>
  <c r="I61" i="4" s="1"/>
  <c r="J61" i="4" s="1"/>
  <c r="K61" i="4" s="1"/>
  <c r="L61" i="4" s="1"/>
  <c r="H60" i="4"/>
  <c r="I60" i="4" s="1"/>
  <c r="J60" i="4" s="1"/>
  <c r="K60" i="4" s="1"/>
  <c r="L60" i="4" s="1"/>
  <c r="H59" i="4"/>
  <c r="I59" i="4" s="1"/>
  <c r="J59" i="4" s="1"/>
  <c r="K59" i="4" s="1"/>
  <c r="L59" i="4" s="1"/>
  <c r="D29" i="3"/>
  <c r="E29" i="3"/>
  <c r="F29" i="3"/>
  <c r="G29" i="3"/>
  <c r="C29" i="3"/>
  <c r="D28" i="3"/>
  <c r="E28" i="3"/>
  <c r="F28" i="3"/>
  <c r="G28" i="3"/>
  <c r="C28" i="3"/>
  <c r="D27" i="3"/>
  <c r="E27" i="3"/>
  <c r="F27" i="3"/>
  <c r="G27" i="3"/>
  <c r="C27" i="3"/>
  <c r="D25" i="3"/>
  <c r="E25" i="3"/>
  <c r="F25" i="3"/>
  <c r="G25" i="3"/>
  <c r="C25" i="3"/>
  <c r="L62" i="4" l="1"/>
  <c r="H62" i="4"/>
  <c r="K62" i="4"/>
  <c r="J62" i="4"/>
  <c r="I62" i="4"/>
  <c r="D24" i="3" l="1"/>
  <c r="E24" i="3"/>
  <c r="F24" i="3"/>
  <c r="G24" i="3"/>
  <c r="C24" i="3"/>
  <c r="H24" i="3" l="1"/>
  <c r="I24" i="3" s="1"/>
  <c r="J24" i="3" s="1"/>
  <c r="K24" i="3" s="1"/>
  <c r="L24" i="3" s="1"/>
  <c r="D99" i="4"/>
  <c r="E99" i="4"/>
  <c r="F99" i="4"/>
  <c r="G99" i="4"/>
  <c r="C99" i="4"/>
  <c r="D98" i="4"/>
  <c r="E98" i="4"/>
  <c r="F98" i="4"/>
  <c r="G98" i="4"/>
  <c r="C98" i="4"/>
  <c r="D189" i="4"/>
  <c r="E189" i="4"/>
  <c r="F189" i="4"/>
  <c r="G189" i="4"/>
  <c r="C189" i="4"/>
  <c r="D187" i="4"/>
  <c r="E187" i="4"/>
  <c r="F187" i="4"/>
  <c r="G187" i="4"/>
  <c r="C187" i="4"/>
  <c r="D185" i="4"/>
  <c r="E185" i="4"/>
  <c r="F185" i="4"/>
  <c r="G185" i="4"/>
  <c r="C185" i="4"/>
  <c r="D183" i="4"/>
  <c r="E183" i="4"/>
  <c r="F183" i="4"/>
  <c r="G183" i="4"/>
  <c r="C183" i="4"/>
  <c r="D178" i="4"/>
  <c r="E178" i="4"/>
  <c r="F178" i="4"/>
  <c r="G178" i="4"/>
  <c r="C178" i="4"/>
  <c r="D176" i="4"/>
  <c r="E176" i="4"/>
  <c r="F176" i="4"/>
  <c r="G176" i="4"/>
  <c r="C176" i="4"/>
  <c r="G184" i="4" l="1"/>
  <c r="G188" i="4"/>
  <c r="F180" i="4"/>
  <c r="C191" i="4"/>
  <c r="E180" i="4"/>
  <c r="D180" i="4"/>
  <c r="F191" i="4"/>
  <c r="E191" i="4"/>
  <c r="D191" i="4"/>
  <c r="C180" i="4"/>
  <c r="G180" i="4"/>
  <c r="G190" i="4"/>
  <c r="G186" i="4"/>
  <c r="G177" i="4"/>
  <c r="G179" i="4"/>
  <c r="G191" i="4"/>
  <c r="E193" i="4" l="1"/>
  <c r="F193" i="4"/>
  <c r="D193" i="4"/>
  <c r="C193" i="4"/>
  <c r="G193" i="4"/>
  <c r="F194" i="4" l="1"/>
  <c r="G194" i="4"/>
  <c r="D194" i="4"/>
  <c r="E194" i="4"/>
  <c r="H161" i="4" l="1"/>
  <c r="D132" i="4"/>
  <c r="E132" i="4"/>
  <c r="F132" i="4"/>
  <c r="G132" i="4"/>
  <c r="C132" i="4"/>
  <c r="I123" i="4"/>
  <c r="J123" i="4"/>
  <c r="K123" i="4"/>
  <c r="L123" i="4"/>
  <c r="H123" i="4"/>
  <c r="D56" i="3"/>
  <c r="E56" i="3"/>
  <c r="F56" i="3"/>
  <c r="G56" i="3"/>
  <c r="C56" i="3"/>
  <c r="I120" i="4"/>
  <c r="J120" i="4"/>
  <c r="K120" i="4"/>
  <c r="L120" i="4"/>
  <c r="H120" i="4"/>
  <c r="D55" i="3"/>
  <c r="E55" i="3"/>
  <c r="F55" i="3"/>
  <c r="G55" i="3"/>
  <c r="C55" i="3"/>
  <c r="D53" i="3"/>
  <c r="E53" i="3"/>
  <c r="F53" i="3"/>
  <c r="G53" i="3"/>
  <c r="C53" i="3"/>
  <c r="I116" i="4"/>
  <c r="J116" i="4"/>
  <c r="K116" i="4"/>
  <c r="L116" i="4"/>
  <c r="H116" i="4"/>
  <c r="D52" i="3"/>
  <c r="E52" i="3"/>
  <c r="F52" i="3"/>
  <c r="G52" i="3"/>
  <c r="C52" i="3"/>
  <c r="D49" i="3"/>
  <c r="E49" i="3"/>
  <c r="F49" i="3"/>
  <c r="G49" i="3"/>
  <c r="C49" i="3"/>
  <c r="G108" i="4"/>
  <c r="I106" i="4"/>
  <c r="J106" i="4"/>
  <c r="K106" i="4"/>
  <c r="L106" i="4"/>
  <c r="H106" i="4"/>
  <c r="I107" i="4"/>
  <c r="J107" i="4"/>
  <c r="K107" i="4"/>
  <c r="L107" i="4"/>
  <c r="H107" i="4"/>
  <c r="H44" i="4" s="1"/>
  <c r="D46" i="3"/>
  <c r="E46" i="3"/>
  <c r="F46" i="3"/>
  <c r="G46" i="3"/>
  <c r="C46" i="3"/>
  <c r="D45" i="3"/>
  <c r="E45" i="3"/>
  <c r="F45" i="3"/>
  <c r="G45" i="3"/>
  <c r="C45" i="3"/>
  <c r="D44" i="3"/>
  <c r="E44" i="3"/>
  <c r="F44" i="3"/>
  <c r="G44" i="3"/>
  <c r="C44" i="3"/>
  <c r="D43" i="3"/>
  <c r="E43" i="3"/>
  <c r="F43" i="3"/>
  <c r="G43" i="3"/>
  <c r="C43" i="3"/>
  <c r="D42" i="3"/>
  <c r="E42" i="3"/>
  <c r="F42" i="3"/>
  <c r="G42" i="3"/>
  <c r="C42" i="3"/>
  <c r="D41" i="3"/>
  <c r="E41" i="3"/>
  <c r="F41" i="3"/>
  <c r="G41" i="3"/>
  <c r="C41" i="3"/>
  <c r="D39" i="3"/>
  <c r="E39" i="3"/>
  <c r="F39" i="3"/>
  <c r="G39" i="3"/>
  <c r="C39" i="3"/>
  <c r="I89" i="4"/>
  <c r="J89" i="4"/>
  <c r="K89" i="4"/>
  <c r="L89" i="4"/>
  <c r="H89" i="4"/>
  <c r="D38" i="3"/>
  <c r="E38" i="3"/>
  <c r="F38" i="3"/>
  <c r="G38" i="3"/>
  <c r="C38" i="3"/>
  <c r="I86" i="4"/>
  <c r="J86" i="4"/>
  <c r="K86" i="4"/>
  <c r="L86" i="4"/>
  <c r="I87" i="4"/>
  <c r="J87" i="4"/>
  <c r="K87" i="4"/>
  <c r="L87" i="4"/>
  <c r="I88" i="4"/>
  <c r="J88" i="4"/>
  <c r="K88" i="4"/>
  <c r="L88" i="4"/>
  <c r="H87" i="4"/>
  <c r="H88" i="4"/>
  <c r="H86" i="4"/>
  <c r="D37" i="3"/>
  <c r="E37" i="3"/>
  <c r="F37" i="3"/>
  <c r="G37" i="3"/>
  <c r="C37" i="3"/>
  <c r="D36" i="3"/>
  <c r="E36" i="3"/>
  <c r="F36" i="3"/>
  <c r="G36" i="3"/>
  <c r="C36" i="3"/>
  <c r="D35" i="3"/>
  <c r="E35" i="3"/>
  <c r="F35" i="3"/>
  <c r="G35" i="3"/>
  <c r="C35" i="3"/>
  <c r="F133" i="4" l="1"/>
  <c r="I44" i="4"/>
  <c r="J44" i="4" s="1"/>
  <c r="K44" i="4" s="1"/>
  <c r="L44" i="4" s="1"/>
  <c r="L161" i="4"/>
  <c r="K143" i="4"/>
  <c r="E133" i="4"/>
  <c r="D133" i="4"/>
  <c r="G133" i="4"/>
  <c r="J143" i="4"/>
  <c r="K161" i="4"/>
  <c r="I143" i="4"/>
  <c r="I161" i="4"/>
  <c r="J161" i="4"/>
  <c r="H143" i="4"/>
  <c r="L143" i="4"/>
  <c r="H41" i="3"/>
  <c r="I41" i="3" s="1"/>
  <c r="H42" i="3"/>
  <c r="I42" i="3" s="1"/>
  <c r="J41" i="3" l="1"/>
  <c r="J42" i="3"/>
  <c r="K42" i="3" l="1"/>
  <c r="K41" i="3"/>
  <c r="L41" i="3" l="1"/>
  <c r="L42" i="3"/>
  <c r="D34" i="3" l="1"/>
  <c r="E34" i="3"/>
  <c r="F34" i="3"/>
  <c r="G34" i="3"/>
  <c r="C34" i="3"/>
  <c r="H19" i="4"/>
  <c r="I19" i="4"/>
  <c r="J19" i="4"/>
  <c r="K19" i="4"/>
  <c r="L19" i="4"/>
  <c r="H11" i="4"/>
  <c r="D14" i="3"/>
  <c r="E14" i="3"/>
  <c r="F14" i="3"/>
  <c r="G14" i="3"/>
  <c r="C14" i="3"/>
  <c r="D13" i="3"/>
  <c r="E13" i="3"/>
  <c r="F13" i="3"/>
  <c r="G13" i="3"/>
  <c r="C13" i="3"/>
  <c r="D12" i="3"/>
  <c r="E12" i="3"/>
  <c r="F12" i="3"/>
  <c r="G12" i="3"/>
  <c r="C12" i="3"/>
  <c r="E11" i="3"/>
  <c r="F11" i="3"/>
  <c r="G11" i="3"/>
  <c r="D11" i="3"/>
  <c r="G118" i="4"/>
  <c r="F118" i="4"/>
  <c r="F108" i="4"/>
  <c r="E118" i="4"/>
  <c r="E108" i="4"/>
  <c r="D118" i="4"/>
  <c r="D108" i="4"/>
  <c r="C118" i="4"/>
  <c r="C108" i="4"/>
  <c r="G73" i="4"/>
  <c r="G62" i="4"/>
  <c r="G57" i="4"/>
  <c r="G45" i="4"/>
  <c r="G39" i="4"/>
  <c r="F73" i="4"/>
  <c r="F62" i="4"/>
  <c r="F57" i="4"/>
  <c r="F45" i="4"/>
  <c r="F39" i="4"/>
  <c r="E73" i="4"/>
  <c r="E62" i="4"/>
  <c r="E57" i="4"/>
  <c r="D57" i="4"/>
  <c r="E45" i="4"/>
  <c r="E39" i="4"/>
  <c r="D73" i="4"/>
  <c r="D62" i="4"/>
  <c r="D45" i="4"/>
  <c r="D39" i="4"/>
  <c r="C73" i="4"/>
  <c r="C62" i="4"/>
  <c r="C57" i="4"/>
  <c r="C45" i="4"/>
  <c r="C39" i="4"/>
  <c r="G13" i="4"/>
  <c r="G17" i="4" s="1"/>
  <c r="G20" i="4" s="1"/>
  <c r="G23" i="4" s="1"/>
  <c r="F13" i="4"/>
  <c r="F17" i="4" s="1"/>
  <c r="F20" i="4" s="1"/>
  <c r="F23" i="4" s="1"/>
  <c r="E13" i="4"/>
  <c r="E17" i="4" s="1"/>
  <c r="E20" i="4" s="1"/>
  <c r="D13" i="4"/>
  <c r="D20" i="4" s="1"/>
  <c r="C13" i="4"/>
  <c r="C20" i="4" s="1"/>
  <c r="C23" i="4" s="1"/>
  <c r="H117" i="4" l="1"/>
  <c r="H71" i="4" s="1"/>
  <c r="H178" i="4"/>
  <c r="H93" i="4" s="1"/>
  <c r="H38" i="4" s="1"/>
  <c r="H185" i="4"/>
  <c r="H95" i="4" s="1"/>
  <c r="H54" i="4" s="1"/>
  <c r="G28" i="4"/>
  <c r="G48" i="3"/>
  <c r="C29" i="4"/>
  <c r="C18" i="3" s="1"/>
  <c r="C48" i="3"/>
  <c r="F29" i="4"/>
  <c r="F18" i="3" s="1"/>
  <c r="F48" i="3"/>
  <c r="H105" i="4"/>
  <c r="H90" i="4"/>
  <c r="H72" i="4" s="1"/>
  <c r="H104" i="4"/>
  <c r="H136" i="4" s="1"/>
  <c r="H102" i="4"/>
  <c r="H103" i="4"/>
  <c r="H34" i="3"/>
  <c r="H84" i="4" s="1"/>
  <c r="H51" i="4" s="1"/>
  <c r="F28" i="4"/>
  <c r="G29" i="4"/>
  <c r="G18" i="3" s="1"/>
  <c r="H18" i="3" s="1"/>
  <c r="I18" i="3" s="1"/>
  <c r="C28" i="4"/>
  <c r="E122" i="4"/>
  <c r="E124" i="4" s="1"/>
  <c r="G122" i="4"/>
  <c r="G124" i="4" s="1"/>
  <c r="F122" i="4"/>
  <c r="F124" i="4" s="1"/>
  <c r="H15" i="4"/>
  <c r="I11" i="4"/>
  <c r="H12" i="4"/>
  <c r="C122" i="4"/>
  <c r="C124" i="4" s="1"/>
  <c r="C126" i="4" s="1"/>
  <c r="D125" i="4" s="1"/>
  <c r="E46" i="4"/>
  <c r="G46" i="4"/>
  <c r="F46" i="4"/>
  <c r="D63" i="4"/>
  <c r="D74" i="4" s="1"/>
  <c r="D46" i="4"/>
  <c r="E63" i="4"/>
  <c r="E74" i="4" s="1"/>
  <c r="F63" i="4"/>
  <c r="F74" i="4" s="1"/>
  <c r="G63" i="4"/>
  <c r="G74" i="4" s="1"/>
  <c r="C46" i="4"/>
  <c r="C63" i="4"/>
  <c r="C74" i="4" s="1"/>
  <c r="G22" i="4"/>
  <c r="G15" i="3" s="1"/>
  <c r="D23" i="4"/>
  <c r="D48" i="3" s="1"/>
  <c r="D22" i="4"/>
  <c r="D15" i="3" s="1"/>
  <c r="E23" i="4"/>
  <c r="E48" i="3" s="1"/>
  <c r="E22" i="4"/>
  <c r="E15" i="3" s="1"/>
  <c r="C22" i="4"/>
  <c r="C15" i="3" s="1"/>
  <c r="F22" i="4"/>
  <c r="F15" i="3" s="1"/>
  <c r="H42" i="4" l="1"/>
  <c r="I117" i="4"/>
  <c r="I71" i="4" s="1"/>
  <c r="I185" i="4"/>
  <c r="I95" i="4" s="1"/>
  <c r="I54" i="4" s="1"/>
  <c r="I178" i="4"/>
  <c r="I93" i="4" s="1"/>
  <c r="I38" i="4" s="1"/>
  <c r="H13" i="4"/>
  <c r="H176" i="4"/>
  <c r="H183" i="4"/>
  <c r="H94" i="4" s="1"/>
  <c r="H52" i="4" s="1"/>
  <c r="H187" i="4"/>
  <c r="H96" i="4" s="1"/>
  <c r="H56" i="4" s="1"/>
  <c r="J162" i="4"/>
  <c r="K162" i="4"/>
  <c r="J144" i="4"/>
  <c r="L162" i="4"/>
  <c r="K144" i="4"/>
  <c r="H162" i="4"/>
  <c r="H167" i="4" s="1"/>
  <c r="L144" i="4"/>
  <c r="H144" i="4"/>
  <c r="H149" i="4" s="1"/>
  <c r="I162" i="4"/>
  <c r="I144" i="4"/>
  <c r="D76" i="4"/>
  <c r="E125" i="4"/>
  <c r="E126" i="4" s="1"/>
  <c r="F125" i="4" s="1"/>
  <c r="F126" i="4" s="1"/>
  <c r="G125" i="4" s="1"/>
  <c r="G126" i="4" s="1"/>
  <c r="H125" i="4" s="1"/>
  <c r="F16" i="3"/>
  <c r="F50" i="3"/>
  <c r="C76" i="4"/>
  <c r="C16" i="3"/>
  <c r="C50" i="3"/>
  <c r="H15" i="3"/>
  <c r="H22" i="4" s="1"/>
  <c r="H170" i="4" s="1"/>
  <c r="G16" i="3"/>
  <c r="H16" i="3" s="1"/>
  <c r="I16" i="3" s="1"/>
  <c r="I28" i="4" s="1"/>
  <c r="I49" i="3" s="1"/>
  <c r="I115" i="4" s="1"/>
  <c r="G50" i="3"/>
  <c r="I34" i="3"/>
  <c r="J34" i="3" s="1"/>
  <c r="I90" i="4"/>
  <c r="I72" i="4" s="1"/>
  <c r="I105" i="4"/>
  <c r="I104" i="4"/>
  <c r="I136" i="4" s="1"/>
  <c r="I102" i="4"/>
  <c r="I103" i="4"/>
  <c r="G19" i="3"/>
  <c r="H108" i="4"/>
  <c r="H29" i="4"/>
  <c r="E29" i="4"/>
  <c r="E18" i="3" s="1"/>
  <c r="E28" i="4"/>
  <c r="D29" i="4"/>
  <c r="D18" i="3" s="1"/>
  <c r="D19" i="3" s="1"/>
  <c r="D28" i="4"/>
  <c r="J18" i="3"/>
  <c r="I29" i="4"/>
  <c r="J11" i="4"/>
  <c r="I15" i="4"/>
  <c r="I12" i="4"/>
  <c r="F76" i="4"/>
  <c r="E76" i="4"/>
  <c r="I42" i="4" l="1"/>
  <c r="I84" i="4"/>
  <c r="I51" i="4" s="1"/>
  <c r="H180" i="4"/>
  <c r="H92" i="4"/>
  <c r="H37" i="4" s="1"/>
  <c r="H83" i="4"/>
  <c r="H40" i="4" s="1"/>
  <c r="H16" i="4"/>
  <c r="H17" i="4" s="1"/>
  <c r="J117" i="4"/>
  <c r="J71" i="4" s="1"/>
  <c r="J185" i="4"/>
  <c r="J95" i="4" s="1"/>
  <c r="J54" i="4" s="1"/>
  <c r="J178" i="4"/>
  <c r="J93" i="4" s="1"/>
  <c r="J38" i="4" s="1"/>
  <c r="I13" i="4"/>
  <c r="I176" i="4"/>
  <c r="I183" i="4"/>
  <c r="I94" i="4" s="1"/>
  <c r="I52" i="4" s="1"/>
  <c r="I187" i="4"/>
  <c r="I96" i="4" s="1"/>
  <c r="I56" i="4" s="1"/>
  <c r="H169" i="4"/>
  <c r="H171" i="4" s="1"/>
  <c r="J145" i="4"/>
  <c r="K145" i="4"/>
  <c r="L145" i="4"/>
  <c r="J163" i="4"/>
  <c r="I145" i="4"/>
  <c r="I149" i="4" s="1"/>
  <c r="I16" i="4" s="1"/>
  <c r="K163" i="4"/>
  <c r="L163" i="4"/>
  <c r="I163" i="4"/>
  <c r="I167" i="4" s="1"/>
  <c r="G51" i="3"/>
  <c r="J16" i="3"/>
  <c r="J28" i="4" s="1"/>
  <c r="I15" i="3"/>
  <c r="J15" i="3" s="1"/>
  <c r="K15" i="3" s="1"/>
  <c r="G17" i="3"/>
  <c r="D16" i="3"/>
  <c r="D17" i="3" s="1"/>
  <c r="D50" i="3"/>
  <c r="D51" i="3" s="1"/>
  <c r="E16" i="3"/>
  <c r="F17" i="3" s="1"/>
  <c r="E50" i="3"/>
  <c r="H28" i="4"/>
  <c r="H49" i="3" s="1"/>
  <c r="H115" i="4" s="1"/>
  <c r="J90" i="4"/>
  <c r="J72" i="4" s="1"/>
  <c r="J105" i="4"/>
  <c r="J104" i="4"/>
  <c r="J136" i="4" s="1"/>
  <c r="J103" i="4"/>
  <c r="J102" i="4"/>
  <c r="I108" i="4"/>
  <c r="E19" i="3"/>
  <c r="F19" i="3"/>
  <c r="K18" i="3"/>
  <c r="J29" i="4"/>
  <c r="K34" i="3"/>
  <c r="J84" i="4"/>
  <c r="K11" i="4"/>
  <c r="J12" i="4"/>
  <c r="J15" i="4"/>
  <c r="H20" i="4" l="1"/>
  <c r="H21" i="4" s="1"/>
  <c r="H23" i="4" s="1"/>
  <c r="H31" i="4"/>
  <c r="J51" i="4"/>
  <c r="J42" i="4"/>
  <c r="H85" i="4"/>
  <c r="H43" i="4" s="1"/>
  <c r="I180" i="4"/>
  <c r="I92" i="4"/>
  <c r="I37" i="4" s="1"/>
  <c r="I17" i="4"/>
  <c r="K117" i="4"/>
  <c r="K71" i="4" s="1"/>
  <c r="K185" i="4"/>
  <c r="K95" i="4" s="1"/>
  <c r="K54" i="4" s="1"/>
  <c r="K178" i="4"/>
  <c r="K93" i="4" s="1"/>
  <c r="K38" i="4" s="1"/>
  <c r="J13" i="4"/>
  <c r="J183" i="4"/>
  <c r="J94" i="4" s="1"/>
  <c r="J52" i="4" s="1"/>
  <c r="J176" i="4"/>
  <c r="J187" i="4"/>
  <c r="J96" i="4" s="1"/>
  <c r="J56" i="4" s="1"/>
  <c r="I150" i="4"/>
  <c r="I83" i="4"/>
  <c r="I40" i="4" s="1"/>
  <c r="I169" i="4"/>
  <c r="K164" i="4"/>
  <c r="L164" i="4"/>
  <c r="J164" i="4"/>
  <c r="J167" i="4" s="1"/>
  <c r="K146" i="4"/>
  <c r="L146" i="4"/>
  <c r="J146" i="4"/>
  <c r="J149" i="4" s="1"/>
  <c r="J16" i="4" s="1"/>
  <c r="J22" i="4"/>
  <c r="J170" i="4" s="1"/>
  <c r="I22" i="4"/>
  <c r="K16" i="3"/>
  <c r="K28" i="4" s="1"/>
  <c r="E51" i="3"/>
  <c r="E17" i="3"/>
  <c r="F51" i="3"/>
  <c r="J108" i="4"/>
  <c r="K90" i="4"/>
  <c r="K72" i="4" s="1"/>
  <c r="K105" i="4"/>
  <c r="K104" i="4"/>
  <c r="K136" i="4" s="1"/>
  <c r="K102" i="4"/>
  <c r="K103" i="4"/>
  <c r="L18" i="3"/>
  <c r="L29" i="4" s="1"/>
  <c r="K29" i="4"/>
  <c r="L34" i="3"/>
  <c r="K84" i="4"/>
  <c r="L11" i="4"/>
  <c r="K15" i="4"/>
  <c r="K12" i="4"/>
  <c r="K22" i="4"/>
  <c r="K170" i="4" s="1"/>
  <c r="L15" i="3"/>
  <c r="L22" i="4" s="1"/>
  <c r="L170" i="4" s="1"/>
  <c r="H189" i="4" l="1"/>
  <c r="H97" i="4" s="1"/>
  <c r="H55" i="4" s="1"/>
  <c r="H114" i="4"/>
  <c r="H68" i="4" s="1"/>
  <c r="H25" i="4"/>
  <c r="I20" i="4"/>
  <c r="I21" i="4" s="1"/>
  <c r="I31" i="4"/>
  <c r="K42" i="4"/>
  <c r="K51" i="4"/>
  <c r="H118" i="4"/>
  <c r="H82" i="4"/>
  <c r="H70" i="4" s="1"/>
  <c r="H45" i="4"/>
  <c r="J17" i="4"/>
  <c r="H26" i="4"/>
  <c r="J180" i="4"/>
  <c r="J92" i="4"/>
  <c r="J37" i="4" s="1"/>
  <c r="L117" i="4"/>
  <c r="L71" i="4" s="1"/>
  <c r="L185" i="4"/>
  <c r="L95" i="4" s="1"/>
  <c r="L54" i="4" s="1"/>
  <c r="L178" i="4"/>
  <c r="L93" i="4" s="1"/>
  <c r="L38" i="4" s="1"/>
  <c r="K13" i="4"/>
  <c r="K183" i="4"/>
  <c r="K94" i="4" s="1"/>
  <c r="K52" i="4" s="1"/>
  <c r="K176" i="4"/>
  <c r="K187" i="4"/>
  <c r="K96" i="4" s="1"/>
  <c r="K56" i="4" s="1"/>
  <c r="J150" i="4"/>
  <c r="J83" i="4"/>
  <c r="J40" i="4" s="1"/>
  <c r="J169" i="4"/>
  <c r="J171" i="4" s="1"/>
  <c r="I170" i="4"/>
  <c r="I171" i="4" s="1"/>
  <c r="K147" i="4"/>
  <c r="K149" i="4" s="1"/>
  <c r="K16" i="4" s="1"/>
  <c r="L165" i="4"/>
  <c r="L147" i="4"/>
  <c r="K165" i="4"/>
  <c r="K167" i="4" s="1"/>
  <c r="L16" i="3"/>
  <c r="L28" i="4" s="1"/>
  <c r="L84" i="4"/>
  <c r="K108" i="4"/>
  <c r="L90" i="4"/>
  <c r="L72" i="4" s="1"/>
  <c r="L105" i="4"/>
  <c r="L104" i="4"/>
  <c r="L136" i="4" s="1"/>
  <c r="L103" i="4"/>
  <c r="L102" i="4"/>
  <c r="L15" i="4"/>
  <c r="L12" i="4"/>
  <c r="H191" i="4" l="1"/>
  <c r="H193" i="4" s="1"/>
  <c r="H194" i="4" s="1"/>
  <c r="J31" i="4"/>
  <c r="J20" i="4"/>
  <c r="J21" i="4" s="1"/>
  <c r="J189" i="4" s="1"/>
  <c r="L51" i="4"/>
  <c r="L42" i="4"/>
  <c r="H73" i="4"/>
  <c r="H99" i="4"/>
  <c r="H18" i="8" s="1"/>
  <c r="H98" i="4"/>
  <c r="H29" i="5" s="1"/>
  <c r="J85" i="4"/>
  <c r="I85" i="4"/>
  <c r="I43" i="4" s="1"/>
  <c r="K180" i="4"/>
  <c r="K92" i="4"/>
  <c r="K37" i="4" s="1"/>
  <c r="K17" i="4"/>
  <c r="L13" i="4"/>
  <c r="L187" i="4"/>
  <c r="L96" i="4" s="1"/>
  <c r="L56" i="4" s="1"/>
  <c r="L183" i="4"/>
  <c r="L94" i="4" s="1"/>
  <c r="L52" i="4" s="1"/>
  <c r="L176" i="4"/>
  <c r="I26" i="4"/>
  <c r="I189" i="4"/>
  <c r="K150" i="4"/>
  <c r="K83" i="4"/>
  <c r="K40" i="4" s="1"/>
  <c r="K169" i="4"/>
  <c r="K171" i="4" s="1"/>
  <c r="L166" i="4"/>
  <c r="L167" i="4" s="1"/>
  <c r="L148" i="4"/>
  <c r="L149" i="4" s="1"/>
  <c r="L16" i="4" s="1"/>
  <c r="L108" i="4"/>
  <c r="H30" i="5" l="1"/>
  <c r="H31" i="5"/>
  <c r="H196" i="4"/>
  <c r="J23" i="4"/>
  <c r="J82" i="4" s="1"/>
  <c r="K20" i="4"/>
  <c r="K21" i="4" s="1"/>
  <c r="K189" i="4" s="1"/>
  <c r="K191" i="4" s="1"/>
  <c r="K193" i="4" s="1"/>
  <c r="K31" i="4"/>
  <c r="H122" i="4"/>
  <c r="H35" i="4" s="1"/>
  <c r="H128" i="4"/>
  <c r="H204" i="4" s="1"/>
  <c r="J43" i="4"/>
  <c r="I45" i="4"/>
  <c r="H57" i="4"/>
  <c r="H63" i="4" s="1"/>
  <c r="H74" i="4" s="1"/>
  <c r="K85" i="4"/>
  <c r="L180" i="4"/>
  <c r="L92" i="4"/>
  <c r="L37" i="4" s="1"/>
  <c r="I191" i="4"/>
  <c r="I193" i="4" s="1"/>
  <c r="I194" i="4" s="1"/>
  <c r="I97" i="4"/>
  <c r="J191" i="4"/>
  <c r="J193" i="4" s="1"/>
  <c r="J97" i="4"/>
  <c r="J98" i="4" s="1"/>
  <c r="L17" i="4"/>
  <c r="J26" i="4"/>
  <c r="I82" i="4"/>
  <c r="I70" i="4" s="1"/>
  <c r="I114" i="4"/>
  <c r="I68" i="4" s="1"/>
  <c r="I25" i="4"/>
  <c r="L150" i="4"/>
  <c r="L83" i="4"/>
  <c r="L40" i="4" s="1"/>
  <c r="L169" i="4"/>
  <c r="L171" i="4" s="1"/>
  <c r="H13" i="8" l="1"/>
  <c r="H32" i="5"/>
  <c r="H37" i="5"/>
  <c r="J114" i="4"/>
  <c r="J68" i="4" s="1"/>
  <c r="J25" i="4"/>
  <c r="K23" i="4"/>
  <c r="K26" i="4" s="1"/>
  <c r="K97" i="4"/>
  <c r="K98" i="4" s="1"/>
  <c r="L20" i="4"/>
  <c r="L21" i="4" s="1"/>
  <c r="L189" i="4" s="1"/>
  <c r="L97" i="4" s="1"/>
  <c r="L98" i="4" s="1"/>
  <c r="L31" i="4"/>
  <c r="H124" i="4"/>
  <c r="H126" i="4" s="1"/>
  <c r="I125" i="4" s="1"/>
  <c r="H206" i="4"/>
  <c r="H265" i="4"/>
  <c r="J194" i="4"/>
  <c r="J196" i="4" s="1"/>
  <c r="I98" i="4"/>
  <c r="I55" i="4"/>
  <c r="J55" i="4" s="1"/>
  <c r="K55" i="4" s="1"/>
  <c r="K43" i="4"/>
  <c r="H39" i="4"/>
  <c r="H46" i="4" s="1"/>
  <c r="H76" i="4" s="1"/>
  <c r="K82" i="4"/>
  <c r="K99" i="4" s="1"/>
  <c r="J45" i="4"/>
  <c r="I118" i="4"/>
  <c r="J99" i="4"/>
  <c r="L85" i="4"/>
  <c r="K25" i="4"/>
  <c r="K114" i="4"/>
  <c r="I99" i="4"/>
  <c r="K194" i="4"/>
  <c r="K196" i="4" s="1"/>
  <c r="L191" i="4"/>
  <c r="L193" i="4" s="1"/>
  <c r="L194" i="4" s="1"/>
  <c r="I196" i="4" l="1"/>
  <c r="I29" i="5"/>
  <c r="I128" i="4"/>
  <c r="I204" i="4" s="1"/>
  <c r="I18" i="8"/>
  <c r="L23" i="4"/>
  <c r="L25" i="4" s="1"/>
  <c r="H266" i="4"/>
  <c r="I203" i="4"/>
  <c r="K68" i="4"/>
  <c r="I122" i="4"/>
  <c r="I124" i="4" s="1"/>
  <c r="I126" i="4" s="1"/>
  <c r="J125" i="4" s="1"/>
  <c r="L43" i="4"/>
  <c r="L45" i="4" s="1"/>
  <c r="L55" i="4"/>
  <c r="K45" i="4"/>
  <c r="I73" i="4"/>
  <c r="I57" i="4"/>
  <c r="I63" i="4" s="1"/>
  <c r="L196" i="4"/>
  <c r="I31" i="5" l="1"/>
  <c r="I30" i="5"/>
  <c r="L114" i="4"/>
  <c r="L68" i="4" s="1"/>
  <c r="L26" i="4"/>
  <c r="L82" i="4"/>
  <c r="L99" i="4" s="1"/>
  <c r="I206" i="4"/>
  <c r="I265" i="4"/>
  <c r="J203" i="4" s="1"/>
  <c r="I35" i="4"/>
  <c r="I39" i="4" s="1"/>
  <c r="I46" i="4" s="1"/>
  <c r="I74" i="4"/>
  <c r="J57" i="4"/>
  <c r="J63" i="4" s="1"/>
  <c r="H51" i="3"/>
  <c r="I51" i="3"/>
  <c r="J49" i="3"/>
  <c r="J115" i="4" s="1"/>
  <c r="J51" i="3"/>
  <c r="K49" i="3"/>
  <c r="K115" i="4" s="1"/>
  <c r="K51" i="3"/>
  <c r="L49" i="3"/>
  <c r="L115" i="4" s="1"/>
  <c r="L51" i="3"/>
  <c r="I13" i="8" l="1"/>
  <c r="I37" i="5"/>
  <c r="I32" i="5"/>
  <c r="J32" i="5"/>
  <c r="L118" i="4"/>
  <c r="L122" i="4" s="1"/>
  <c r="L124" i="4" s="1"/>
  <c r="K118" i="4"/>
  <c r="K122" i="4" s="1"/>
  <c r="K124" i="4" s="1"/>
  <c r="K128" i="4"/>
  <c r="K204" i="4" s="1"/>
  <c r="L128" i="4"/>
  <c r="L204" i="4" s="1"/>
  <c r="J70" i="4"/>
  <c r="K70" i="4" s="1"/>
  <c r="L70" i="4" s="1"/>
  <c r="J128" i="4"/>
  <c r="J204" i="4" s="1"/>
  <c r="J206" i="4" s="1"/>
  <c r="I266" i="4"/>
  <c r="J118" i="4"/>
  <c r="J122" i="4" s="1"/>
  <c r="J35" i="4" s="1"/>
  <c r="L57" i="4"/>
  <c r="L63" i="4" s="1"/>
  <c r="K57" i="4"/>
  <c r="K63" i="4" s="1"/>
  <c r="I76" i="4"/>
  <c r="O11" i="5" l="1"/>
  <c r="R11" i="5"/>
  <c r="R16" i="5" s="1"/>
  <c r="J265" i="4"/>
  <c r="K203" i="4" s="1"/>
  <c r="K265" i="4" s="1"/>
  <c r="L203" i="4" s="1"/>
  <c r="K35" i="4"/>
  <c r="L35" i="4" s="1"/>
  <c r="J73" i="4"/>
  <c r="J74" i="4" s="1"/>
  <c r="J124" i="4"/>
  <c r="J126" i="4" s="1"/>
  <c r="K125" i="4" s="1"/>
  <c r="K126" i="4" s="1"/>
  <c r="L125" i="4" s="1"/>
  <c r="L126" i="4" s="1"/>
  <c r="R24" i="5" l="1"/>
  <c r="R26" i="5" s="1"/>
  <c r="R33" i="5" s="1"/>
  <c r="R28" i="5"/>
  <c r="O28" i="5"/>
  <c r="O24" i="5"/>
  <c r="J266" i="4"/>
  <c r="K206" i="4"/>
  <c r="L265" i="4"/>
  <c r="L266" i="4" s="1"/>
  <c r="L206" i="4"/>
  <c r="K266" i="4"/>
  <c r="J39" i="4"/>
  <c r="J46" i="4" s="1"/>
  <c r="L73" i="4"/>
  <c r="L74" i="4" s="1"/>
  <c r="K73" i="4"/>
  <c r="K74" i="4" s="1"/>
  <c r="O26" i="5" l="1"/>
  <c r="O33" i="5" s="1"/>
  <c r="J76" i="4"/>
  <c r="L39" i="4"/>
  <c r="L46" i="4" s="1"/>
  <c r="K39" i="4"/>
  <c r="K46" i="4" s="1"/>
  <c r="K76" i="4" l="1"/>
  <c r="L7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tc={C4C58E14-DE1B-484F-9E41-6B297709237C}</author>
    <author>tc={CA2964D9-2532-4CFA-A926-B794DCF1C9C1}</author>
    <author>tc={B327759C-16CA-4C4D-844E-5909CAB1FFD6}</author>
    <author>tc={8B7F8403-6B23-443C-A9A1-AF028C789835}</author>
    <author>tc={3C8C340E-5539-4493-B928-710B7C955DDF}</author>
    <author>tc={99223FDA-FA0B-4B8B-A3FC-E2D504B750F4}</author>
    <author>tc={A45956B5-873B-4A88-97E7-7AC3C9FD3316}</author>
    <author>tc={FA7240E4-22ED-4A5E-9C1D-94B317D0E629}</author>
    <author>tc={3825A3D7-A210-4BCD-BFDD-5DC040B16037}</author>
    <author>tc={297A62B8-C989-438D-B0CD-478817867A06}</author>
  </authors>
  <commentList>
    <comment ref="E10" authorId="0" shapeId="0" xr:uid="{C4C58E14-DE1B-484F-9E41-6B297709237C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 employee stock options</t>
      </text>
    </comment>
    <comment ref="J10" authorId="1" shapeId="0" xr:uid="{CA2964D9-2532-4CFA-A926-B794DCF1C9C1}">
      <text>
        <t>[Threaded comment]
Your version of Excel allows you to read this threaded comment; however, any edits to it will get removed if the file is opened in a newer version of Excel. Learn more: https://go.microsoft.com/fwlink/?linkid=870924
Comment:
    Supposed to be “Fair Value” from company’s financials
Reply:
    Also need to add “Finance Lease” values</t>
      </text>
    </comment>
    <comment ref="L10" authorId="2" shapeId="0" xr:uid="{B327759C-16CA-4C4D-844E-5909CAB1FFD6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 include “Unfunded Pension Liabilities”</t>
      </text>
    </comment>
    <comment ref="N10" authorId="3" shapeId="0" xr:uid="{8B7F8403-6B23-443C-A9A1-AF028C78983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Pull from data resources (best is CapIQ/BB) - I just used Yahoo Finance 
</t>
      </text>
    </comment>
    <comment ref="O10" authorId="4" shapeId="0" xr:uid="{3C8C340E-5539-4493-B928-710B7C955DD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Pull from data resources (best is CapIQ/BB) - I just used Yahoo Finance </t>
      </text>
    </comment>
    <comment ref="P10" authorId="5" shapeId="0" xr:uid="{99223FDA-FA0B-4B8B-A3FC-E2D504B750F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Pull from data resources (best is CapIQ/BB) - I just used Yahoo Finance 
</t>
      </text>
    </comment>
    <comment ref="R10" authorId="6" shapeId="0" xr:uid="{A45956B5-873B-4A88-97E7-7AC3C9FD33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Pull from data resources (best is CapIQ/BB) - I just used Yahoo Finance 
</t>
      </text>
    </comment>
    <comment ref="S10" authorId="7" shapeId="0" xr:uid="{FA7240E4-22ED-4A5E-9C1D-94B317D0E62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Pull from data resources (best is CapIQ/BB) - I just used Yahoo Finance 
</t>
      </text>
    </comment>
    <comment ref="U10" authorId="8" shapeId="0" xr:uid="{3825A3D7-A210-4BCD-BFDD-5DC040B1603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Pull from data resources (best is CapIQ/BB) - I just used Yahoo Finance 
</t>
      </text>
    </comment>
    <comment ref="V10" authorId="9" shapeId="0" xr:uid="{297A62B8-C989-438D-B0CD-478817867A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Pull from data resources (best is CapIQ/BB) - I just used Yahoo Finance 
</t>
      </text>
    </comment>
  </commentList>
</comments>
</file>

<file path=xl/sharedStrings.xml><?xml version="1.0" encoding="utf-8"?>
<sst xmlns="http://schemas.openxmlformats.org/spreadsheetml/2006/main" count="536" uniqueCount="321">
  <si>
    <t>Period End</t>
  </si>
  <si>
    <t>USD Millions (Expect per Share Data)</t>
  </si>
  <si>
    <t>2020A</t>
  </si>
  <si>
    <t>2021A</t>
  </si>
  <si>
    <t>2022A</t>
  </si>
  <si>
    <t>2023A</t>
  </si>
  <si>
    <t>2025E</t>
  </si>
  <si>
    <t>2026E</t>
  </si>
  <si>
    <t>2027E</t>
  </si>
  <si>
    <t>2028E</t>
  </si>
  <si>
    <t>Lowe's (NYSE: LOW)</t>
  </si>
  <si>
    <t>Annual Model &amp; Supporting Schedules</t>
  </si>
  <si>
    <t>Income Statement</t>
  </si>
  <si>
    <t>Gross Profit</t>
  </si>
  <si>
    <t>Operating Expenses</t>
  </si>
  <si>
    <t>Operating Income (EBIT)</t>
  </si>
  <si>
    <t>Tax Rate (%)</t>
  </si>
  <si>
    <t>Shares Used in Computing EPS</t>
  </si>
  <si>
    <t>Average Shares Outstanding - Basic</t>
  </si>
  <si>
    <t>Average Shares Outstanding - Diluted</t>
  </si>
  <si>
    <t>Net Sales</t>
  </si>
  <si>
    <t>Cost of Sales</t>
  </si>
  <si>
    <t>Selling, General, and Administrative</t>
  </si>
  <si>
    <t>Depreciation &amp; Amortization</t>
  </si>
  <si>
    <t>Interest - Net</t>
  </si>
  <si>
    <t>Pre-Tax Earnings (EBT)</t>
  </si>
  <si>
    <t>Income Tax Provision</t>
  </si>
  <si>
    <t>Net Income</t>
  </si>
  <si>
    <t>Earnings per Share</t>
  </si>
  <si>
    <t>Earnings per Share (Basic)</t>
  </si>
  <si>
    <t>Earnings per Share (Diluted)</t>
  </si>
  <si>
    <t>Balance Sheet</t>
  </si>
  <si>
    <t>Current Assets</t>
  </si>
  <si>
    <t>Cash &amp; Cash Equivalents</t>
  </si>
  <si>
    <t>Short-Term Investments</t>
  </si>
  <si>
    <t>Merchandise Inventory - Net</t>
  </si>
  <si>
    <t>Other Current Assets</t>
  </si>
  <si>
    <t>Total Current Assets</t>
  </si>
  <si>
    <t>Property, Less Accumulated Depreciation</t>
  </si>
  <si>
    <t>Operating Lease ROU Assets</t>
  </si>
  <si>
    <t>Long-Term Investments</t>
  </si>
  <si>
    <t>Deferred Income Taxes - Net</t>
  </si>
  <si>
    <t>Other Assets</t>
  </si>
  <si>
    <t>Total Noncurrent Assets</t>
  </si>
  <si>
    <t>Total Assets</t>
  </si>
  <si>
    <t>Current Liabilities</t>
  </si>
  <si>
    <t>Short-Term Borrowings</t>
  </si>
  <si>
    <t>Current Maturities of Long-Term Debt</t>
  </si>
  <si>
    <t>Current Operating Lease Liabilities</t>
  </si>
  <si>
    <t>Accounts Payable</t>
  </si>
  <si>
    <t>Accrued Compensation and Employee Benefits</t>
  </si>
  <si>
    <t>Deferred Revenue</t>
  </si>
  <si>
    <t>Income Taxes Payable</t>
  </si>
  <si>
    <t>Other Current Liabilities</t>
  </si>
  <si>
    <t>Total Current Liabilities</t>
  </si>
  <si>
    <t>Long-Term Debt, Excluding Current Maturities</t>
  </si>
  <si>
    <t>Noncurrent Operating Lease Liabilities</t>
  </si>
  <si>
    <t>Deferred Revenue - Lowe's Protection Plans</t>
  </si>
  <si>
    <t>Other Liabiliities</t>
  </si>
  <si>
    <t>Total Noncurrent Liabilities</t>
  </si>
  <si>
    <t>Total Liabilities</t>
  </si>
  <si>
    <t>Shareholder's Equity (Deficit)</t>
  </si>
  <si>
    <t>Preferred Stock - $5 Par Value</t>
  </si>
  <si>
    <t>Common Stock - $0.50 Par Value</t>
  </si>
  <si>
    <t>Accumulated Deficit</t>
  </si>
  <si>
    <t>Total Shareholder's Equity (Deficit)</t>
  </si>
  <si>
    <t>Total Liabilities &amp; Shareholder's Equity (Deficit)</t>
  </si>
  <si>
    <t>Balance Check</t>
  </si>
  <si>
    <t>Cash Flow Statement</t>
  </si>
  <si>
    <t>Operating Activities</t>
  </si>
  <si>
    <t>Net Earnings</t>
  </si>
  <si>
    <t>Noncash Lease Expense</t>
  </si>
  <si>
    <t>Deferred Income Taxes</t>
  </si>
  <si>
    <t>Asset Impairment and Loss on Property - Net</t>
  </si>
  <si>
    <t>(Gain)/Loss on Sale of Business</t>
  </si>
  <si>
    <t>Share-Based Payment Expense</t>
  </si>
  <si>
    <t>Adjustments:</t>
  </si>
  <si>
    <t>Changes in Operating Assets and Liabilities:</t>
  </si>
  <si>
    <t>Other Operating Assets</t>
  </si>
  <si>
    <t>Other Operating Liabilities</t>
  </si>
  <si>
    <t>Net Change in Operating Working Capital</t>
  </si>
  <si>
    <t>Cash Flow from Operating Activities</t>
  </si>
  <si>
    <t>Investing Activities</t>
  </si>
  <si>
    <t>Purchases of Investments</t>
  </si>
  <si>
    <t>Proceeds From Sale/Maturity of Investments</t>
  </si>
  <si>
    <t>Capital Expendiures (CAPEX)</t>
  </si>
  <si>
    <t>Proceeds from Sale of Property and Other Long-Term Assets</t>
  </si>
  <si>
    <t>Proceeds from Sale of Business</t>
  </si>
  <si>
    <t>Other - Net</t>
  </si>
  <si>
    <t>Cash Flow from Investing Activities</t>
  </si>
  <si>
    <t>Financing Activities</t>
  </si>
  <si>
    <t>Net Change in Commercial Paper</t>
  </si>
  <si>
    <t>Net Proceeds from Issuance of Debt</t>
  </si>
  <si>
    <t>Repayment of Debt</t>
  </si>
  <si>
    <t>Proceeds from Issuance of Common Stock Under Share-Based Payment Plans</t>
  </si>
  <si>
    <t>Cash Dividend Payments</t>
  </si>
  <si>
    <t>Repurchases of Common Stock</t>
  </si>
  <si>
    <t>Cash Flow from Financing Activities</t>
  </si>
  <si>
    <t>Effect of Exchange Rate Changes on Cash</t>
  </si>
  <si>
    <t>Net (Decrease)/Increase in Cash and Cash Equivalents</t>
  </si>
  <si>
    <t>Cash and Cash Equivalents, Beginning of Year</t>
  </si>
  <si>
    <t>Cash and Cash Equivalents, End of Year</t>
  </si>
  <si>
    <t>2029E</t>
  </si>
  <si>
    <t>Loss on Extinguishment of Debt</t>
  </si>
  <si>
    <t>2024A</t>
  </si>
  <si>
    <t>Capital In Excess of Par Value</t>
  </si>
  <si>
    <t>Retained Earnings</t>
  </si>
  <si>
    <t>Accumulated OCI (Loss)</t>
  </si>
  <si>
    <t>Impairment of Goodwill</t>
  </si>
  <si>
    <t>Less: Net Decrease/(Increase) in Cash Classified Within Current Assets Held for Sale</t>
  </si>
  <si>
    <t>Net Increase/(Decrease) in Cash and Cash Equivalents</t>
  </si>
  <si>
    <t>Depreciation Schedule</t>
  </si>
  <si>
    <t>OWC Schedule</t>
  </si>
  <si>
    <t>Debt Schedule</t>
  </si>
  <si>
    <t>Model Assumptions/Drivers</t>
  </si>
  <si>
    <t>Revenue Growth YoY (%)</t>
  </si>
  <si>
    <t>Cost of Sales % Rev</t>
  </si>
  <si>
    <t>SG&amp;A % Rev</t>
  </si>
  <si>
    <t>Shares Used in Computing EPS (Basic)</t>
  </si>
  <si>
    <t>Shares Used in Computing EPS (Diluted)</t>
  </si>
  <si>
    <t>YoY Change (%)</t>
  </si>
  <si>
    <t>Noncash Lease Expense % Rev</t>
  </si>
  <si>
    <t>Gain/(Loss) on Sale of Business</t>
  </si>
  <si>
    <t>Share-Based Payment Expense % Rev</t>
  </si>
  <si>
    <t>Purchases of Investments % Rev</t>
  </si>
  <si>
    <t>Proceeds From Sale/Maturity of Investments % Rev</t>
  </si>
  <si>
    <t>CAPEX % Rev</t>
  </si>
  <si>
    <t>Proceeds from Sale of Property and Other Long-Term Assets % Rev</t>
  </si>
  <si>
    <t>Proceeds from Issuance of Common Stock Under Share-Based Payment Plans % Net Income</t>
  </si>
  <si>
    <t>Price per Share ($)</t>
  </si>
  <si>
    <t>Dividend Growth (%)</t>
  </si>
  <si>
    <t>Other - Net % Rev</t>
  </si>
  <si>
    <t>Historical Depreciation</t>
  </si>
  <si>
    <t>YoY growth %</t>
  </si>
  <si>
    <t>Property and Equipment (Beg. Of Year)</t>
  </si>
  <si>
    <t>CAPEX (Beg. of Year)</t>
  </si>
  <si>
    <t>Book (GAAP) Depreciation</t>
  </si>
  <si>
    <t>Useful Life:</t>
  </si>
  <si>
    <t>PP&amp;E Years:</t>
  </si>
  <si>
    <t>CAPEX Years:</t>
  </si>
  <si>
    <t>Depreciation</t>
  </si>
  <si>
    <t>Existing PP&amp;E:</t>
  </si>
  <si>
    <t>2025 CAPEX:</t>
  </si>
  <si>
    <t>2026 CAPEX:</t>
  </si>
  <si>
    <t>2027 CAPEX:</t>
  </si>
  <si>
    <t>2028 CAPEX:</t>
  </si>
  <si>
    <t>2029 CAPEX:</t>
  </si>
  <si>
    <t>Total Book Depreciation</t>
  </si>
  <si>
    <t>Accelerated Depreciation (MACRS %'s)</t>
  </si>
  <si>
    <t xml:space="preserve">Accelerated Depreciation </t>
  </si>
  <si>
    <t>Total Tax Depreciation</t>
  </si>
  <si>
    <t>Difference in Depreciation</t>
  </si>
  <si>
    <t>Tax Rate:</t>
  </si>
  <si>
    <t>Deferred Taxes</t>
  </si>
  <si>
    <t>Days Inventory Outstanding</t>
  </si>
  <si>
    <t>Days Outstanding</t>
  </si>
  <si>
    <t>Days Payable Outstanding</t>
  </si>
  <si>
    <t>Total Operating Working Capital</t>
  </si>
  <si>
    <t>Change in Operating Working Capital</t>
  </si>
  <si>
    <t>Match CFS (Y/N)?</t>
  </si>
  <si>
    <t>Short-Term Investments % Rev</t>
  </si>
  <si>
    <t>Cash Available to Pay Down Debt</t>
  </si>
  <si>
    <t>Cash Flow before Debt Paydown</t>
  </si>
  <si>
    <t>Cash at Beginning of Year</t>
  </si>
  <si>
    <t>Minimum Cash Cushion</t>
  </si>
  <si>
    <t>Total Cash Available to Pay Down Debt</t>
  </si>
  <si>
    <t>Short Term Borrowings</t>
  </si>
  <si>
    <t>Operating Lease ROU Assets (Beginning of Year):</t>
  </si>
  <si>
    <t>Mandatory Issuances / (Retirements):</t>
  </si>
  <si>
    <t>Non-Mandatory Issuances / (Retirements):</t>
  </si>
  <si>
    <t>Operating Lease ROU Assets (End of Year)</t>
  </si>
  <si>
    <t>Interest Expense:</t>
  </si>
  <si>
    <t>Interest Rate:</t>
  </si>
  <si>
    <t>Short-Term Borrowings (Beginning of Year)</t>
  </si>
  <si>
    <t>Short Term Borrowings (End of Year)</t>
  </si>
  <si>
    <t>Current Maturities of Long-Term Debt (Beginning of Year)</t>
  </si>
  <si>
    <t>Current Maturities of Long-Term Debt (End of Year)</t>
  </si>
  <si>
    <t>Current Operating Lease Liabilities (Beginning of Year)</t>
  </si>
  <si>
    <t>Current Operating Lease Liabilities (End of Year)</t>
  </si>
  <si>
    <t>Current Long-Term Debt, Excluding Current Maturities (Beginning of Year)</t>
  </si>
  <si>
    <t>Long-Term Debt, Excluding Current Maturities (End of Year)</t>
  </si>
  <si>
    <t>Current Noncurrent Operating Lease Liabilities (Beginning of Year)</t>
  </si>
  <si>
    <t>Noncurrent Operating Lease Liabilities (End of Year)</t>
  </si>
  <si>
    <t>Total Issuances / (Retrirements)</t>
  </si>
  <si>
    <t>Total Interest Expense</t>
  </si>
  <si>
    <t>Cash at End of Year</t>
  </si>
  <si>
    <t>Interest Income:</t>
  </si>
  <si>
    <t>Interest Rate</t>
  </si>
  <si>
    <t>Cash Flow Before Debt Paydown</t>
  </si>
  <si>
    <t>EBITDA</t>
  </si>
  <si>
    <t>Discounted Cash Flow Analysis</t>
  </si>
  <si>
    <t>DCF Analysis</t>
  </si>
  <si>
    <t>Revenue</t>
  </si>
  <si>
    <t>EBITDA Margin (%)</t>
  </si>
  <si>
    <t>D&amp;A % Rev</t>
  </si>
  <si>
    <t>EBIT</t>
  </si>
  <si>
    <t>EBIT Growth (%)</t>
  </si>
  <si>
    <t>EBIT Margin (%)</t>
  </si>
  <si>
    <t>Income Tax Expense</t>
  </si>
  <si>
    <t>NOPAT</t>
  </si>
  <si>
    <t>Add: D&amp;A</t>
  </si>
  <si>
    <t>Less: CAPEX</t>
  </si>
  <si>
    <t>Less: Change in Net Working Capital</t>
  </si>
  <si>
    <t>Change in NWC % Rev</t>
  </si>
  <si>
    <t>UFCF</t>
  </si>
  <si>
    <t>Growth %</t>
  </si>
  <si>
    <t>Discount Period</t>
  </si>
  <si>
    <t>WACC</t>
  </si>
  <si>
    <t>Discount Factor</t>
  </si>
  <si>
    <t>PV of UFCF</t>
  </si>
  <si>
    <t>WACC Analysis</t>
  </si>
  <si>
    <t>Wacc Analysis</t>
  </si>
  <si>
    <t>30 Year US Treasury</t>
  </si>
  <si>
    <t>Market Risk Premium</t>
  </si>
  <si>
    <t>Beta</t>
  </si>
  <si>
    <t>Cost of Equity</t>
  </si>
  <si>
    <t>% of Capital Structure</t>
  </si>
  <si>
    <t>Cost of Debt</t>
  </si>
  <si>
    <t>Market Capitalization</t>
  </si>
  <si>
    <t>Share Price</t>
  </si>
  <si>
    <t>Common Shares Outstanding</t>
  </si>
  <si>
    <t>Diluted Shares Outstanding</t>
  </si>
  <si>
    <t>Diluted Market Capitalization</t>
  </si>
  <si>
    <t>(-) Cash &amp; Investments</t>
  </si>
  <si>
    <t>(-) Net Operating Losses</t>
  </si>
  <si>
    <t>(+) Total Debt &amp; Finance Leases</t>
  </si>
  <si>
    <t>(+) Preferred Stock</t>
  </si>
  <si>
    <t>(+) Operating Leases</t>
  </si>
  <si>
    <t>(+) Noncontrolling Interests</t>
  </si>
  <si>
    <t>(+) Unfunded Pensions</t>
  </si>
  <si>
    <t>Enterprise Value (TEV)</t>
  </si>
  <si>
    <t>Capital Structure</t>
  </si>
  <si>
    <t>Unit</t>
  </si>
  <si>
    <t>Value</t>
  </si>
  <si>
    <t>%</t>
  </si>
  <si>
    <t>Total Debt</t>
  </si>
  <si>
    <t>Total Common Equity</t>
  </si>
  <si>
    <t>Total Preferred Equity</t>
  </si>
  <si>
    <t>Total Noncontrolling Interests</t>
  </si>
  <si>
    <t>Total</t>
  </si>
  <si>
    <t>actually a deficit on BS - just changed to positive for calc</t>
  </si>
  <si>
    <t>Multiples Method</t>
  </si>
  <si>
    <t>Sum of PV UFCF</t>
  </si>
  <si>
    <t>Exit Year EBITDA</t>
  </si>
  <si>
    <t>EBITDA Multiple</t>
  </si>
  <si>
    <t>Terminal Value</t>
  </si>
  <si>
    <t>PV of Terminal Value</t>
  </si>
  <si>
    <t>Enterprise Value</t>
  </si>
  <si>
    <t>(+) Cash &amp; Investments</t>
  </si>
  <si>
    <t>(+) Net Operating Losses</t>
  </si>
  <si>
    <t>(-) Total Debt &amp; Finance Leases</t>
  </si>
  <si>
    <t>(-) Preferred Stock</t>
  </si>
  <si>
    <t>(-) Operating Leases</t>
  </si>
  <si>
    <t>(-) Noncontrolling Interests</t>
  </si>
  <si>
    <t>(-) Unfunded Pensions</t>
  </si>
  <si>
    <t>Implied Equity Value</t>
  </si>
  <si>
    <t>Fully Diluted Shares Outstanding</t>
  </si>
  <si>
    <t>Implied Share Price</t>
  </si>
  <si>
    <t>% EV from TV</t>
  </si>
  <si>
    <t>Current Price</t>
  </si>
  <si>
    <t>Dividend Yield</t>
  </si>
  <si>
    <t>Implied Return</t>
  </si>
  <si>
    <t>Gordon Growth</t>
  </si>
  <si>
    <t>Terminal Year UFCF</t>
  </si>
  <si>
    <t>Perpetuity Growth Rate</t>
  </si>
  <si>
    <t>Implied Multiple</t>
  </si>
  <si>
    <t>Public Comps Analysis</t>
  </si>
  <si>
    <t>Values in Million, Except Per Share Data</t>
  </si>
  <si>
    <t>Growth Projections</t>
  </si>
  <si>
    <t>Company</t>
  </si>
  <si>
    <t>Ticker</t>
  </si>
  <si>
    <t>FDSO</t>
  </si>
  <si>
    <t>Market Cap</t>
  </si>
  <si>
    <t>Tax Rate</t>
  </si>
  <si>
    <t>Cash</t>
  </si>
  <si>
    <t>Debt</t>
  </si>
  <si>
    <t>Preferred</t>
  </si>
  <si>
    <t>Other &amp; NCI</t>
  </si>
  <si>
    <t>EV</t>
  </si>
  <si>
    <t>LTM</t>
  </si>
  <si>
    <t>Capitalization</t>
  </si>
  <si>
    <t>Home Depot</t>
  </si>
  <si>
    <t>Target</t>
  </si>
  <si>
    <t>Walmart</t>
  </si>
  <si>
    <t>Best Buy</t>
  </si>
  <si>
    <t>HD</t>
  </si>
  <si>
    <t>Multiples</t>
  </si>
  <si>
    <t>TGT</t>
  </si>
  <si>
    <t>Costco</t>
  </si>
  <si>
    <t>WMT</t>
  </si>
  <si>
    <t>BBY</t>
  </si>
  <si>
    <t>COST</t>
  </si>
  <si>
    <t>Lowe's</t>
  </si>
  <si>
    <t>LOW</t>
  </si>
  <si>
    <t>Maximum</t>
  </si>
  <si>
    <t>75th Percentile</t>
  </si>
  <si>
    <t>Median</t>
  </si>
  <si>
    <t>25th Percentile</t>
  </si>
  <si>
    <t>Minimum</t>
  </si>
  <si>
    <t>EV/Rev</t>
  </si>
  <si>
    <t>EV/EBITDA</t>
  </si>
  <si>
    <t>Equity Value/Net Income</t>
  </si>
  <si>
    <t>EV/Revenue</t>
  </si>
  <si>
    <t>EV/UFCF</t>
  </si>
  <si>
    <t>Enterprise Value Multiples</t>
  </si>
  <si>
    <t>Equity Value Multiples</t>
  </si>
  <si>
    <t>P/E Ratio</t>
  </si>
  <si>
    <t>EV/EBIT</t>
  </si>
  <si>
    <t>Price to Sales (P/S)</t>
  </si>
  <si>
    <t>Price-to-Cash Flow (P/CF)</t>
  </si>
  <si>
    <t>COGS</t>
  </si>
  <si>
    <t>COGS % Rev</t>
  </si>
  <si>
    <t>COGS Growth %</t>
  </si>
  <si>
    <t>Gross Margin %</t>
  </si>
  <si>
    <t>YoY Growth %</t>
  </si>
  <si>
    <t>EBITDA Margin %</t>
  </si>
  <si>
    <t>Operating Margin %</t>
  </si>
  <si>
    <t>Growth Rate %</t>
  </si>
  <si>
    <t>EBT</t>
  </si>
  <si>
    <t>EBT Margin %</t>
  </si>
  <si>
    <t>Net Earnings (Income)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</si>
</sst>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164" formatCode="#,##0.0_);\(#,##0.0\)"/>
    <numFmt numFmtId="165" formatCode="0.000%"/>
    <numFmt numFmtId="166" formatCode="0.0000%"/>
    <numFmt numFmtId="167" formatCode="0.0000"/>
    <numFmt numFmtId="168" formatCode="0.0\x"/>
    <numFmt numFmtId="169" formatCode="0.0%"/>
    <numFmt numFmtId="170" formatCode="_(&quot;$&quot;* #,##0.0_);_(&quot;$&quot;* \(#,##0.0\);_(&quot;$&quot;* &quot;-&quot;?_);_(@_)"/>
  </numFmts>
  <fonts count="16" x14ac:knownFonts="1">
    <font>
      <sz val="11"/>
      <color theme="1"/>
      <name val="Aptos Narrow"/>
      <family val="2"/>
      <scheme val="minor"/>
    </font>
    <font>
      <i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6"/>
      <color theme="1"/>
      <name val="Arial"/>
      <family val="2"/>
    </font>
    <font>
      <b/>
      <sz val="9"/>
      <color theme="0"/>
      <name val="Arial"/>
      <family val="2"/>
    </font>
    <font>
      <sz val="9"/>
      <color rgb="FF0000FF"/>
      <name val="Arial"/>
      <family val="2"/>
    </font>
    <font>
      <sz val="9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i/>
      <sz val="9"/>
      <color theme="1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/>
    <xf numFmtId="1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3" fillId="3" borderId="1" xfId="0" applyFont="1" applyFill="1" applyBorder="1"/>
    <xf numFmtId="37" fontId="6" fillId="3" borderId="1" xfId="0" applyNumberFormat="1" applyFont="1" applyFill="1" applyBorder="1"/>
    <xf numFmtId="37" fontId="2" fillId="3" borderId="1" xfId="0" applyNumberFormat="1" applyFont="1" applyFill="1" applyBorder="1"/>
    <xf numFmtId="0" fontId="2" fillId="0" borderId="0" xfId="0" applyFont="1" applyAlignment="1">
      <alignment horizontal="left" indent="1"/>
    </xf>
    <xf numFmtId="37" fontId="6" fillId="0" borderId="0" xfId="0" applyNumberFormat="1" applyFont="1"/>
    <xf numFmtId="37" fontId="2" fillId="0" borderId="0" xfId="0" applyNumberFormat="1" applyFont="1"/>
    <xf numFmtId="0" fontId="1" fillId="0" borderId="0" xfId="0" applyFont="1" applyAlignment="1">
      <alignment horizontal="left" indent="2"/>
    </xf>
    <xf numFmtId="9" fontId="2" fillId="0" borderId="0" xfId="0" applyNumberFormat="1" applyFont="1"/>
    <xf numFmtId="10" fontId="2" fillId="0" borderId="0" xfId="0" applyNumberFormat="1" applyFont="1"/>
    <xf numFmtId="44" fontId="6" fillId="0" borderId="0" xfId="0" applyNumberFormat="1" applyFont="1"/>
    <xf numFmtId="44" fontId="2" fillId="0" borderId="0" xfId="0" applyNumberFormat="1" applyFont="1"/>
    <xf numFmtId="0" fontId="2" fillId="3" borderId="1" xfId="0" applyFont="1" applyFill="1" applyBorder="1"/>
    <xf numFmtId="0" fontId="3" fillId="4" borderId="1" xfId="0" applyFont="1" applyFill="1" applyBorder="1"/>
    <xf numFmtId="37" fontId="3" fillId="4" borderId="1" xfId="0" applyNumberFormat="1" applyFont="1" applyFill="1" applyBorder="1"/>
    <xf numFmtId="0" fontId="1" fillId="0" borderId="0" xfId="0" applyFont="1" applyAlignment="1">
      <alignment horizontal="left" indent="1"/>
    </xf>
    <xf numFmtId="0" fontId="2" fillId="0" borderId="0" xfId="0" applyFont="1" applyAlignment="1">
      <alignment horizontal="left" indent="2"/>
    </xf>
    <xf numFmtId="0" fontId="2" fillId="0" borderId="0" xfId="0" applyFont="1" applyAlignment="1">
      <alignment horizontal="left"/>
    </xf>
    <xf numFmtId="9" fontId="7" fillId="0" borderId="0" xfId="0" applyNumberFormat="1" applyFont="1"/>
    <xf numFmtId="37" fontId="3" fillId="3" borderId="1" xfId="0" applyNumberFormat="1" applyFont="1" applyFill="1" applyBorder="1"/>
    <xf numFmtId="37" fontId="2" fillId="0" borderId="2" xfId="0" applyNumberFormat="1" applyFont="1" applyBorder="1"/>
    <xf numFmtId="37" fontId="3" fillId="0" borderId="3" xfId="0" applyNumberFormat="1" applyFont="1" applyBorder="1"/>
    <xf numFmtId="164" fontId="2" fillId="0" borderId="0" xfId="0" applyNumberFormat="1" applyFont="1"/>
    <xf numFmtId="10" fontId="6" fillId="0" borderId="0" xfId="0" applyNumberFormat="1" applyFont="1"/>
    <xf numFmtId="0" fontId="6" fillId="0" borderId="0" xfId="0" applyFont="1"/>
    <xf numFmtId="166" fontId="2" fillId="0" borderId="0" xfId="0" applyNumberFormat="1" applyFont="1"/>
    <xf numFmtId="165" fontId="6" fillId="0" borderId="0" xfId="0" applyNumberFormat="1" applyFont="1"/>
    <xf numFmtId="0" fontId="3" fillId="0" borderId="0" xfId="0" applyFont="1" applyAlignment="1">
      <alignment horizontal="left"/>
    </xf>
    <xf numFmtId="37" fontId="3" fillId="0" borderId="2" xfId="0" applyNumberFormat="1" applyFont="1" applyBorder="1"/>
    <xf numFmtId="37" fontId="3" fillId="0" borderId="4" xfId="0" applyNumberFormat="1" applyFont="1" applyBorder="1"/>
    <xf numFmtId="0" fontId="3" fillId="0" borderId="0" xfId="0" applyFont="1" applyAlignment="1">
      <alignment horizontal="left" indent="1"/>
    </xf>
    <xf numFmtId="37" fontId="2" fillId="0" borderId="0" xfId="0" applyNumberFormat="1" applyFont="1" applyAlignment="1">
      <alignment horizontal="center"/>
    </xf>
    <xf numFmtId="37" fontId="7" fillId="0" borderId="0" xfId="0" applyNumberFormat="1" applyFont="1"/>
    <xf numFmtId="37" fontId="1" fillId="0" borderId="0" xfId="0" applyNumberFormat="1" applyFont="1"/>
    <xf numFmtId="0" fontId="1" fillId="0" borderId="0" xfId="0" applyFont="1" applyAlignment="1">
      <alignment horizontal="left" indent="3"/>
    </xf>
    <xf numFmtId="0" fontId="2" fillId="0" borderId="2" xfId="0" applyFont="1" applyBorder="1"/>
    <xf numFmtId="0" fontId="2" fillId="0" borderId="2" xfId="0" applyFont="1" applyBorder="1" applyAlignment="1">
      <alignment horizontal="left" indent="1"/>
    </xf>
    <xf numFmtId="0" fontId="1" fillId="0" borderId="2" xfId="0" applyFont="1" applyBorder="1" applyAlignment="1">
      <alignment horizontal="left" indent="2"/>
    </xf>
    <xf numFmtId="37" fontId="6" fillId="0" borderId="2" xfId="0" applyNumberFormat="1" applyFont="1" applyBorder="1"/>
    <xf numFmtId="10" fontId="6" fillId="0" borderId="0" xfId="0" applyNumberFormat="1" applyFont="1" applyAlignment="1">
      <alignment horizontal="right"/>
    </xf>
    <xf numFmtId="0" fontId="8" fillId="0" borderId="0" xfId="0" applyFont="1"/>
    <xf numFmtId="0" fontId="9" fillId="0" borderId="0" xfId="0" applyFont="1"/>
    <xf numFmtId="37" fontId="7" fillId="3" borderId="1" xfId="0" applyNumberFormat="1" applyFont="1" applyFill="1" applyBorder="1"/>
    <xf numFmtId="10" fontId="1" fillId="0" borderId="0" xfId="0" applyNumberFormat="1" applyFont="1"/>
    <xf numFmtId="0" fontId="2" fillId="0" borderId="7" xfId="0" applyFont="1" applyBorder="1"/>
    <xf numFmtId="0" fontId="2" fillId="0" borderId="8" xfId="0" applyFont="1" applyBorder="1"/>
    <xf numFmtId="0" fontId="3" fillId="3" borderId="9" xfId="0" applyFont="1" applyFill="1" applyBorder="1"/>
    <xf numFmtId="10" fontId="2" fillId="0" borderId="8" xfId="0" applyNumberFormat="1" applyFont="1" applyBorder="1"/>
    <xf numFmtId="10" fontId="6" fillId="0" borderId="8" xfId="0" applyNumberFormat="1" applyFont="1" applyBorder="1"/>
    <xf numFmtId="2" fontId="6" fillId="0" borderId="8" xfId="0" applyNumberFormat="1" applyFont="1" applyBorder="1"/>
    <xf numFmtId="0" fontId="2" fillId="0" borderId="7" xfId="0" applyFont="1" applyBorder="1" applyAlignment="1">
      <alignment horizontal="left" indent="1"/>
    </xf>
    <xf numFmtId="0" fontId="11" fillId="0" borderId="7" xfId="0" applyFont="1" applyBorder="1"/>
    <xf numFmtId="0" fontId="11" fillId="0" borderId="0" xfId="0" applyFont="1"/>
    <xf numFmtId="0" fontId="11" fillId="0" borderId="8" xfId="0" applyFont="1" applyBorder="1"/>
    <xf numFmtId="44" fontId="2" fillId="0" borderId="8" xfId="0" applyNumberFormat="1" applyFont="1" applyBorder="1"/>
    <xf numFmtId="37" fontId="2" fillId="0" borderId="8" xfId="0" applyNumberFormat="1" applyFont="1" applyBorder="1"/>
    <xf numFmtId="44" fontId="3" fillId="3" borderId="10" xfId="0" applyNumberFormat="1" applyFont="1" applyFill="1" applyBorder="1"/>
    <xf numFmtId="37" fontId="7" fillId="0" borderId="6" xfId="0" applyNumberFormat="1" applyFont="1" applyBorder="1"/>
    <xf numFmtId="37" fontId="7" fillId="0" borderId="8" xfId="0" applyNumberFormat="1" applyFont="1" applyBorder="1"/>
    <xf numFmtId="37" fontId="7" fillId="0" borderId="12" xfId="0" applyNumberFormat="1" applyFont="1" applyBorder="1"/>
    <xf numFmtId="10" fontId="1" fillId="0" borderId="8" xfId="0" applyNumberFormat="1" applyFont="1" applyBorder="1"/>
    <xf numFmtId="10" fontId="3" fillId="3" borderId="10" xfId="0" applyNumberFormat="1" applyFont="1" applyFill="1" applyBorder="1"/>
    <xf numFmtId="167" fontId="2" fillId="0" borderId="0" xfId="0" applyNumberFormat="1" applyFont="1"/>
    <xf numFmtId="37" fontId="3" fillId="3" borderId="9" xfId="0" applyNumberFormat="1" applyFont="1" applyFill="1" applyBorder="1"/>
    <xf numFmtId="168" fontId="1" fillId="0" borderId="8" xfId="0" applyNumberFormat="1" applyFont="1" applyBorder="1"/>
    <xf numFmtId="37" fontId="3" fillId="3" borderId="10" xfId="0" applyNumberFormat="1" applyFont="1" applyFill="1" applyBorder="1"/>
    <xf numFmtId="44" fontId="6" fillId="0" borderId="8" xfId="0" applyNumberFormat="1" applyFont="1" applyBorder="1"/>
    <xf numFmtId="10" fontId="2" fillId="3" borderId="10" xfId="0" applyNumberFormat="1" applyFont="1" applyFill="1" applyBorder="1"/>
    <xf numFmtId="169" fontId="1" fillId="0" borderId="8" xfId="0" applyNumberFormat="1" applyFont="1" applyBorder="1"/>
    <xf numFmtId="0" fontId="13" fillId="3" borderId="1" xfId="0" applyFont="1" applyFill="1" applyBorder="1"/>
    <xf numFmtId="0" fontId="13" fillId="3" borderId="1" xfId="0" applyFont="1" applyFill="1" applyBorder="1" applyAlignment="1">
      <alignment horizontal="center"/>
    </xf>
    <xf numFmtId="10" fontId="7" fillId="0" borderId="0" xfId="0" applyNumberFormat="1" applyFont="1"/>
    <xf numFmtId="0" fontId="14" fillId="3" borderId="1" xfId="0" applyFont="1" applyFill="1" applyBorder="1" applyAlignment="1">
      <alignment horizontal="center"/>
    </xf>
    <xf numFmtId="170" fontId="14" fillId="3" borderId="1" xfId="0" applyNumberFormat="1" applyFont="1" applyFill="1" applyBorder="1"/>
    <xf numFmtId="2" fontId="14" fillId="3" borderId="1" xfId="0" applyNumberFormat="1" applyFont="1" applyFill="1" applyBorder="1"/>
    <xf numFmtId="0" fontId="14" fillId="3" borderId="1" xfId="0" applyFont="1" applyFill="1" applyBorder="1"/>
    <xf numFmtId="10" fontId="14" fillId="3" borderId="1" xfId="0" applyNumberFormat="1" applyFont="1" applyFill="1" applyBorder="1"/>
    <xf numFmtId="37" fontId="14" fillId="3" borderId="1" xfId="0" applyNumberFormat="1" applyFont="1" applyFill="1" applyBorder="1"/>
    <xf numFmtId="10" fontId="14" fillId="3" borderId="1" xfId="0" applyNumberFormat="1" applyFont="1" applyFill="1" applyBorder="1" applyAlignment="1">
      <alignment horizontal="center"/>
    </xf>
    <xf numFmtId="1" fontId="14" fillId="3" borderId="1" xfId="0" applyNumberFormat="1" applyFont="1" applyFill="1" applyBorder="1"/>
    <xf numFmtId="0" fontId="2" fillId="0" borderId="5" xfId="0" applyFont="1" applyBorder="1"/>
    <xf numFmtId="44" fontId="2" fillId="0" borderId="11" xfId="0" applyNumberFormat="1" applyFont="1" applyBorder="1"/>
    <xf numFmtId="0" fontId="2" fillId="0" borderId="11" xfId="0" applyFont="1" applyBorder="1"/>
    <xf numFmtId="170" fontId="2" fillId="0" borderId="0" xfId="0" applyNumberFormat="1" applyFont="1"/>
    <xf numFmtId="44" fontId="3" fillId="3" borderId="1" xfId="0" applyNumberFormat="1" applyFont="1" applyFill="1" applyBorder="1"/>
    <xf numFmtId="0" fontId="2" fillId="0" borderId="13" xfId="0" applyFont="1" applyBorder="1"/>
    <xf numFmtId="44" fontId="2" fillId="0" borderId="2" xfId="0" applyNumberFormat="1" applyFont="1" applyBorder="1"/>
    <xf numFmtId="10" fontId="7" fillId="0" borderId="6" xfId="0" applyNumberFormat="1" applyFont="1" applyBorder="1"/>
    <xf numFmtId="10" fontId="7" fillId="0" borderId="12" xfId="0" applyNumberFormat="1" applyFont="1" applyBorder="1"/>
    <xf numFmtId="37" fontId="7" fillId="0" borderId="2" xfId="0" applyNumberFormat="1" applyFont="1" applyBorder="1"/>
    <xf numFmtId="10" fontId="7" fillId="0" borderId="2" xfId="0" applyNumberFormat="1" applyFont="1" applyBorder="1"/>
    <xf numFmtId="0" fontId="3" fillId="5" borderId="0" xfId="0" applyFont="1" applyFill="1"/>
    <xf numFmtId="9" fontId="3" fillId="3" borderId="10" xfId="0" applyNumberFormat="1" applyFont="1" applyFill="1" applyBorder="1"/>
    <xf numFmtId="10" fontId="3" fillId="3" borderId="1" xfId="0" applyNumberFormat="1" applyFont="1" applyFill="1" applyBorder="1"/>
    <xf numFmtId="44" fontId="9" fillId="0" borderId="0" xfId="0" applyNumberFormat="1" applyFont="1"/>
    <xf numFmtId="168" fontId="2" fillId="0" borderId="0" xfId="0" applyNumberFormat="1" applyFont="1" applyAlignment="1">
      <alignment horizontal="center"/>
    </xf>
    <xf numFmtId="0" fontId="9" fillId="0" borderId="2" xfId="0" applyFont="1" applyBorder="1"/>
    <xf numFmtId="168" fontId="2" fillId="0" borderId="6" xfId="0" applyNumberFormat="1" applyFont="1" applyBorder="1" applyAlignment="1">
      <alignment horizontal="center"/>
    </xf>
    <xf numFmtId="168" fontId="2" fillId="0" borderId="12" xfId="0" applyNumberFormat="1" applyFont="1" applyBorder="1" applyAlignment="1">
      <alignment horizontal="center"/>
    </xf>
    <xf numFmtId="168" fontId="3" fillId="3" borderId="1" xfId="0" applyNumberFormat="1" applyFont="1" applyFill="1" applyBorder="1" applyAlignment="1">
      <alignment horizontal="center"/>
    </xf>
    <xf numFmtId="168" fontId="2" fillId="0" borderId="2" xfId="0" applyNumberFormat="1" applyFont="1" applyBorder="1" applyAlignment="1">
      <alignment horizontal="center"/>
    </xf>
    <xf numFmtId="168" fontId="3" fillId="3" borderId="10" xfId="0" applyNumberFormat="1" applyFont="1" applyFill="1" applyBorder="1" applyAlignment="1">
      <alignment horizontal="center"/>
    </xf>
    <xf numFmtId="168" fontId="2" fillId="0" borderId="8" xfId="0" applyNumberFormat="1" applyFont="1" applyBorder="1" applyAlignment="1">
      <alignment horizontal="center"/>
    </xf>
    <xf numFmtId="0" fontId="15" fillId="0" borderId="0" xfId="0" applyFont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10" fontId="1" fillId="0" borderId="0" xfId="0" applyNumberFormat="1" applyFont="1" applyAlignment="1">
      <alignment horizontal="left" indent="1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15</xdr:row>
      <xdr:rowOff>135733</xdr:rowOff>
    </xdr:from>
    <xdr:to>
      <xdr:col>15</xdr:col>
      <xdr:colOff>304800</xdr:colOff>
      <xdr:row>20</xdr:row>
      <xdr:rowOff>180183</xdr:rowOff>
    </xdr:to>
    <xdr:sp macro="" textlink="">
      <xdr:nvSpPr>
        <xdr:cNvPr id="2" name="Title 1">
          <a:extLst>
            <a:ext uri="{FF2B5EF4-FFF2-40B4-BE49-F238E27FC236}">
              <a16:creationId xmlns:a16="http://schemas.microsoft.com/office/drawing/2014/main" id="{7D7E246E-C11B-D193-23D3-DDF71D69D9A1}"/>
            </a:ext>
          </a:extLst>
        </xdr:cNvPr>
        <xdr:cNvSpPr>
          <a:spLocks noGrp="1"/>
        </xdr:cNvSpPr>
      </xdr:nvSpPr>
      <xdr:spPr>
        <a:xfrm>
          <a:off x="304800" y="2993233"/>
          <a:ext cx="9144000" cy="996950"/>
        </a:xfrm>
        <a:prstGeom prst="rect">
          <a:avLst/>
        </a:prstGeom>
      </xdr:spPr>
      <xdr:txBody>
        <a:bodyPr vert="horz" wrap="square" lIns="91440" tIns="45720" rIns="91440" bIns="45720" rtlCol="0" anchor="b">
          <a:norm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r>
            <a:rPr lang="en-CA" sz="4800">
              <a:latin typeface="Arial" panose="020B0604020202020204" pitchFamily="34" charset="0"/>
              <a:cs typeface="Arial" panose="020B0604020202020204" pitchFamily="34" charset="0"/>
            </a:rPr>
            <a:t>Lowe’s (NYSE:LOW)</a:t>
          </a:r>
        </a:p>
      </xdr:txBody>
    </xdr:sp>
    <xdr:clientData/>
  </xdr:twoCellAnchor>
  <xdr:twoCellAnchor>
    <xdr:from>
      <xdr:col>0</xdr:col>
      <xdr:colOff>304800</xdr:colOff>
      <xdr:row>21</xdr:row>
      <xdr:rowOff>39691</xdr:rowOff>
    </xdr:from>
    <xdr:to>
      <xdr:col>15</xdr:col>
      <xdr:colOff>304800</xdr:colOff>
      <xdr:row>29</xdr:row>
      <xdr:rowOff>171453</xdr:rowOff>
    </xdr:to>
    <xdr:sp macro="" textlink="">
      <xdr:nvSpPr>
        <xdr:cNvPr id="3" name="Subtitle 2">
          <a:extLst>
            <a:ext uri="{FF2B5EF4-FFF2-40B4-BE49-F238E27FC236}">
              <a16:creationId xmlns:a16="http://schemas.microsoft.com/office/drawing/2014/main" id="{00DA5DDF-9851-9F7C-A3AF-FBA1B829B84F}"/>
            </a:ext>
          </a:extLst>
        </xdr:cNvPr>
        <xdr:cNvSpPr>
          <a:spLocks noGrp="1"/>
        </xdr:cNvSpPr>
      </xdr:nvSpPr>
      <xdr:spPr>
        <a:xfrm>
          <a:off x="304800" y="4040191"/>
          <a:ext cx="9144000" cy="1655762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0" indent="0" algn="ctr" defTabSz="914400" rtl="0" eaLnBrk="1" latinLnBrk="0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None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ctr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CA" sz="1800">
              <a:latin typeface="Arial" panose="020B0604020202020204" pitchFamily="34" charset="0"/>
              <a:cs typeface="Arial" panose="020B0604020202020204" pitchFamily="34" charset="0"/>
            </a:rPr>
            <a:t>Operating Financial Model</a:t>
          </a:r>
        </a:p>
        <a:p>
          <a:r>
            <a:rPr lang="en-CA" sz="1800">
              <a:latin typeface="Arial" panose="020B0604020202020204" pitchFamily="34" charset="0"/>
              <a:cs typeface="Arial" panose="020B0604020202020204" pitchFamily="34" charset="0"/>
            </a:rPr>
            <a:t>Harrison Doan</a:t>
          </a:r>
        </a:p>
        <a:p>
          <a:r>
            <a:rPr lang="en-CA" sz="1800">
              <a:latin typeface="Arial" panose="020B0604020202020204" pitchFamily="34" charset="0"/>
              <a:cs typeface="Arial" panose="020B0604020202020204" pitchFamily="34" charset="0"/>
            </a:rPr>
            <a:t>January 22</a:t>
          </a:r>
          <a:r>
            <a:rPr lang="en-CA" sz="1800" baseline="30000">
              <a:latin typeface="Arial" panose="020B0604020202020204" pitchFamily="34" charset="0"/>
              <a:cs typeface="Arial" panose="020B0604020202020204" pitchFamily="34" charset="0"/>
            </a:rPr>
            <a:t>nd</a:t>
          </a:r>
          <a:r>
            <a:rPr lang="en-CA" sz="1800">
              <a:latin typeface="Arial" panose="020B0604020202020204" pitchFamily="34" charset="0"/>
              <a:cs typeface="Arial" panose="020B0604020202020204" pitchFamily="34" charset="0"/>
            </a:rPr>
            <a:t>, 2025</a:t>
          </a:r>
        </a:p>
      </xdr:txBody>
    </xdr:sp>
    <xdr:clientData/>
  </xdr:twoCellAnchor>
  <xdr:twoCellAnchor editAs="oneCell">
    <xdr:from>
      <xdr:col>5</xdr:col>
      <xdr:colOff>519112</xdr:colOff>
      <xdr:row>6</xdr:row>
      <xdr:rowOff>57150</xdr:rowOff>
    </xdr:from>
    <xdr:to>
      <xdr:col>10</xdr:col>
      <xdr:colOff>90487</xdr:colOff>
      <xdr:row>15</xdr:row>
      <xdr:rowOff>85725</xdr:rowOff>
    </xdr:to>
    <xdr:pic>
      <xdr:nvPicPr>
        <xdr:cNvPr id="4" name="Picture 3" descr="140+ Lowes Stock Photos, Pictures ...">
          <a:extLst>
            <a:ext uri="{FF2B5EF4-FFF2-40B4-BE49-F238E27FC236}">
              <a16:creationId xmlns:a16="http://schemas.microsoft.com/office/drawing/2014/main" id="{175AA438-5909-CFD9-A2C4-BDA82641E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7112" y="1200150"/>
          <a:ext cx="2619375" cy="1743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2419350</xdr:colOff>
      <xdr:row>0</xdr:row>
      <xdr:rowOff>161925</xdr:rowOff>
    </xdr:from>
    <xdr:to>
      <xdr:col>1</xdr:col>
      <xdr:colOff>3368187</xdr:colOff>
      <xdr:row>3</xdr:row>
      <xdr:rowOff>101040</xdr:rowOff>
    </xdr:to>
    <xdr:pic>
      <xdr:nvPicPr>
        <xdr:cNvPr id="3" name="Picture 2" descr="Lowe's Logo - Lowe's Logo - CleanPNG ...">
          <a:extLst>
            <a:ext uri="{FF2B5EF4-FFF2-40B4-BE49-F238E27FC236}">
              <a16:creationId xmlns:a16="http://schemas.microsoft.com/office/drawing/2014/main" id="{F1A2A369-F3E3-47F7-A2A9-FA7FB2461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161925"/>
          <a:ext cx="945027" cy="5029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2346960</xdr:colOff>
      <xdr:row>0</xdr:row>
      <xdr:rowOff>108584</xdr:rowOff>
    </xdr:from>
    <xdr:to>
      <xdr:col>1</xdr:col>
      <xdr:colOff>3291987</xdr:colOff>
      <xdr:row>3</xdr:row>
      <xdr:rowOff>56644</xdr:rowOff>
    </xdr:to>
    <xdr:pic>
      <xdr:nvPicPr>
        <xdr:cNvPr id="2" name="Picture 1" descr="Lowe's Logo - Lowe's Logo - CleanPNG ...">
          <a:extLst>
            <a:ext uri="{FF2B5EF4-FFF2-40B4-BE49-F238E27FC236}">
              <a16:creationId xmlns:a16="http://schemas.microsoft.com/office/drawing/2014/main" id="{64ECC6B8-9F32-4DC4-86C8-03C2025A0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0825" y="108584"/>
          <a:ext cx="935502" cy="523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2393259</xdr:colOff>
      <xdr:row>0</xdr:row>
      <xdr:rowOff>118857</xdr:rowOff>
    </xdr:from>
    <xdr:to>
      <xdr:col>1</xdr:col>
      <xdr:colOff>3372429</xdr:colOff>
      <xdr:row>3</xdr:row>
      <xdr:rowOff>79472</xdr:rowOff>
    </xdr:to>
    <xdr:pic>
      <xdr:nvPicPr>
        <xdr:cNvPr id="2" name="Picture 1" descr="Lowe's Logo - Lowe's Logo - CleanPNG ...">
          <a:extLst>
            <a:ext uri="{FF2B5EF4-FFF2-40B4-BE49-F238E27FC236}">
              <a16:creationId xmlns:a16="http://schemas.microsoft.com/office/drawing/2014/main" id="{66486734-B988-5AC7-B72B-2298BB5DD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5781" y="118857"/>
          <a:ext cx="969645" cy="515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2208647</xdr:colOff>
      <xdr:row>0</xdr:row>
      <xdr:rowOff>59220</xdr:rowOff>
    </xdr:from>
    <xdr:to>
      <xdr:col>1</xdr:col>
      <xdr:colOff>3254492</xdr:colOff>
      <xdr:row>2</xdr:row>
      <xdr:rowOff>136455</xdr:rowOff>
    </xdr:to>
    <xdr:pic>
      <xdr:nvPicPr>
        <xdr:cNvPr id="3" name="Picture 2" descr="Lowe's Logo - Lowe's Logo - CleanPNG ...">
          <a:extLst>
            <a:ext uri="{FF2B5EF4-FFF2-40B4-BE49-F238E27FC236}">
              <a16:creationId xmlns:a16="http://schemas.microsoft.com/office/drawing/2014/main" id="{252AC738-3A30-4B68-B3CE-4E8FB6AE9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4299" y="59220"/>
          <a:ext cx="1038225" cy="487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2323355</xdr:colOff>
      <xdr:row>0</xdr:row>
      <xdr:rowOff>82080</xdr:rowOff>
    </xdr:from>
    <xdr:to>
      <xdr:col>2</xdr:col>
      <xdr:colOff>854600</xdr:colOff>
      <xdr:row>3</xdr:row>
      <xdr:rowOff>56445</xdr:rowOff>
    </xdr:to>
    <xdr:pic>
      <xdr:nvPicPr>
        <xdr:cNvPr id="2" name="Picture 1" descr="Lowe's Logo - Lowe's Logo - CleanPNG ...">
          <a:extLst>
            <a:ext uri="{FF2B5EF4-FFF2-40B4-BE49-F238E27FC236}">
              <a16:creationId xmlns:a16="http://schemas.microsoft.com/office/drawing/2014/main" id="{468D35D7-B63D-495B-B95C-682B6863D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5280" y="82080"/>
          <a:ext cx="988695" cy="555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2397319</xdr:colOff>
      <xdr:row>0</xdr:row>
      <xdr:rowOff>170208</xdr:rowOff>
    </xdr:from>
    <xdr:to>
      <xdr:col>1</xdr:col>
      <xdr:colOff>3396131</xdr:colOff>
      <xdr:row>3</xdr:row>
      <xdr:rowOff>66261</xdr:rowOff>
    </xdr:to>
    <xdr:pic>
      <xdr:nvPicPr>
        <xdr:cNvPr id="3" name="Picture 2" descr="Lowe's Logo - Lowe's Logo - CleanPNG ...">
          <a:extLst>
            <a:ext uri="{FF2B5EF4-FFF2-40B4-BE49-F238E27FC236}">
              <a16:creationId xmlns:a16="http://schemas.microsoft.com/office/drawing/2014/main" id="{1732F96C-2689-46FD-A1BD-F4926D49E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6406" y="170208"/>
          <a:ext cx="998812" cy="4841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2336555</xdr:colOff>
      <xdr:row>0</xdr:row>
      <xdr:rowOff>113567</xdr:rowOff>
    </xdr:from>
    <xdr:to>
      <xdr:col>1</xdr:col>
      <xdr:colOff>3332436</xdr:colOff>
      <xdr:row>3</xdr:row>
      <xdr:rowOff>35710</xdr:rowOff>
    </xdr:to>
    <xdr:pic>
      <xdr:nvPicPr>
        <xdr:cNvPr id="3" name="Picture 2" descr="Lowe's Logo - Lowe's Logo - CleanPNG ...">
          <a:extLst>
            <a:ext uri="{FF2B5EF4-FFF2-40B4-BE49-F238E27FC236}">
              <a16:creationId xmlns:a16="http://schemas.microsoft.com/office/drawing/2014/main" id="{69E75E6A-C9C6-4350-8985-0688EA769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0420" y="113567"/>
          <a:ext cx="995881" cy="4863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arrison Doan" id="{CE985C62-A3C3-4464-8726-5DB8E6E91427}" userId="7f4f7b5c9908051a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0" dT="2025-01-15T01:07:11.11" personId="{CE985C62-A3C3-4464-8726-5DB8E6E91427}" id="{C4C58E14-DE1B-484F-9E41-6B297709237C}">
    <text>Include employee stock options</text>
  </threadedComment>
  <threadedComment ref="J10" dT="2025-01-15T00:31:20.09" personId="{CE985C62-A3C3-4464-8726-5DB8E6E91427}" id="{CA2964D9-2532-4CFA-A926-B794DCF1C9C1}">
    <text>Supposed to be “Fair Value” from company’s financials</text>
  </threadedComment>
  <threadedComment ref="J10" dT="2025-01-15T00:35:29.58" personId="{CE985C62-A3C3-4464-8726-5DB8E6E91427}" id="{4A02E93E-D6D7-4EF5-8548-F90C85D66E90}" parentId="{CA2964D9-2532-4CFA-A926-B794DCF1C9C1}">
    <text>Also need to add “Finance Lease” values</text>
  </threadedComment>
  <threadedComment ref="L10" dT="2025-01-15T00:29:41.54" personId="{CE985C62-A3C3-4464-8726-5DB8E6E91427}" id="{B327759C-16CA-4C4D-844E-5909CAB1FFD6}">
    <text>Could include “Unfunded Pension Liabilities”</text>
  </threadedComment>
  <threadedComment ref="N10" dT="2025-01-15T01:41:43.47" personId="{CE985C62-A3C3-4464-8726-5DB8E6E91427}" id="{8B7F8403-6B23-443C-A9A1-AF028C789835}">
    <text xml:space="preserve">Pull from data resources (best is CapIQ/BB) - I just used Yahoo Finance 
</text>
  </threadedComment>
  <threadedComment ref="O10" dT="2025-01-15T01:19:31.17" personId="{CE985C62-A3C3-4464-8726-5DB8E6E91427}" id="{3C8C340E-5539-4493-B928-710B7C955DDF}">
    <text xml:space="preserve">Pull from data resources (best is CapIQ/BB) - I just used Yahoo Finance </text>
  </threadedComment>
  <threadedComment ref="P10" dT="2025-01-15T01:19:37.40" personId="{CE985C62-A3C3-4464-8726-5DB8E6E91427}" id="{99223FDA-FA0B-4B8B-A3FC-E2D504B750F4}">
    <text xml:space="preserve">Pull from data resources (best is CapIQ/BB) - I just used Yahoo Finance 
</text>
  </threadedComment>
  <threadedComment ref="R10" dT="2025-01-15T01:19:45.24" personId="{CE985C62-A3C3-4464-8726-5DB8E6E91427}" id="{A45956B5-873B-4A88-97E7-7AC3C9FD3316}">
    <text xml:space="preserve">Pull from data resources (best is CapIQ/BB) - I just used Yahoo Finance 
</text>
  </threadedComment>
  <threadedComment ref="S10" dT="2025-01-15T01:19:49.70" personId="{CE985C62-A3C3-4464-8726-5DB8E6E91427}" id="{FA7240E4-22ED-4A5E-9C1D-94B317D0E629}">
    <text xml:space="preserve">Pull from data resources (best is CapIQ/BB) - I just used Yahoo Finance 
</text>
  </threadedComment>
  <threadedComment ref="U10" dT="2025-01-15T01:19:54.99" personId="{CE985C62-A3C3-4464-8726-5DB8E6E91427}" id="{3825A3D7-A210-4BCD-BFDD-5DC040B16037}">
    <text xml:space="preserve">Pull from data resources (best is CapIQ/BB) - I just used Yahoo Finance 
</text>
  </threadedComment>
  <threadedComment ref="V10" dT="2025-01-15T01:19:58.77" personId="{CE985C62-A3C3-4464-8726-5DB8E6E91427}" id="{297A62B8-C989-438D-B0CD-478817867A06}">
    <text xml:space="preserve">Pull from data resources (best is CapIQ/BB) - I just used Yahoo Finance 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7.xml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404C6-8C2C-43C2-B971-4984E47221AC}">
  <dimension ref="A1"/>
  <sheetViews>
    <sheetView showGridLines="0" tabSelected="1" workbookViewId="0">
      <selection activeCell="O13" sqref="O1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70505-CE58-44BF-AC28-3719FB5F26B9}">
  <dimension ref="B1:L27"/>
  <sheetViews>
    <sheetView showGridLines="0" zoomScale="115" zoomScaleNormal="115" zoomScaleSheetLayoutView="115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I29" sqref="I29"/>
    </sheetView>
  </sheetViews>
  <sheetFormatPr defaultColWidth="9.140625" defaultRowHeight="12" x14ac:dyDescent="0.2"/>
  <cols>
    <col min="1" max="1" width="2.28515625" style="5" customWidth="1"/>
    <col min="2" max="2" width="62.42578125" style="5" customWidth="1"/>
    <col min="3" max="3" width="9.28515625" style="5" bestFit="1" customWidth="1"/>
    <col min="4" max="4" width="9.5703125" style="5" bestFit="1" customWidth="1"/>
    <col min="5" max="6" width="9.28515625" style="5" bestFit="1" customWidth="1"/>
    <col min="7" max="7" width="9.42578125" style="5" bestFit="1" customWidth="1"/>
    <col min="8" max="12" width="9.28515625" style="5" bestFit="1" customWidth="1"/>
    <col min="13" max="16384" width="9.140625" style="5"/>
  </cols>
  <sheetData>
    <row r="1" spans="2:12" ht="20.25" x14ac:dyDescent="0.3">
      <c r="B1" s="7" t="s">
        <v>10</v>
      </c>
    </row>
    <row r="2" spans="2:12" x14ac:dyDescent="0.2">
      <c r="B2" s="6" t="s">
        <v>114</v>
      </c>
    </row>
    <row r="6" spans="2:12" x14ac:dyDescent="0.2">
      <c r="B6" s="1" t="s">
        <v>0</v>
      </c>
      <c r="C6" s="2">
        <v>43861</v>
      </c>
      <c r="D6" s="2">
        <v>44225</v>
      </c>
      <c r="E6" s="2">
        <v>44589</v>
      </c>
      <c r="F6" s="2">
        <v>44960</v>
      </c>
      <c r="G6" s="2">
        <v>45324</v>
      </c>
      <c r="H6" s="3"/>
      <c r="I6" s="3"/>
      <c r="J6" s="3"/>
      <c r="K6" s="3"/>
    </row>
    <row r="7" spans="2:12" x14ac:dyDescent="0.2">
      <c r="B7" s="1" t="s">
        <v>1</v>
      </c>
      <c r="C7" s="4" t="s">
        <v>2</v>
      </c>
      <c r="D7" s="4" t="s">
        <v>3</v>
      </c>
      <c r="E7" s="4" t="s">
        <v>4</v>
      </c>
      <c r="F7" s="4" t="s">
        <v>5</v>
      </c>
      <c r="G7" s="4" t="s">
        <v>104</v>
      </c>
      <c r="H7" s="4" t="s">
        <v>6</v>
      </c>
      <c r="I7" s="4" t="s">
        <v>7</v>
      </c>
      <c r="J7" s="4" t="s">
        <v>8</v>
      </c>
      <c r="K7" s="4" t="s">
        <v>9</v>
      </c>
      <c r="L7" s="4" t="s">
        <v>102</v>
      </c>
    </row>
    <row r="10" spans="2:12" x14ac:dyDescent="0.2">
      <c r="B10" s="8" t="s">
        <v>12</v>
      </c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2:12" x14ac:dyDescent="0.2">
      <c r="B11" s="9" t="s">
        <v>192</v>
      </c>
      <c r="C11" s="11">
        <f>'Annual Model'!C11</f>
        <v>72148</v>
      </c>
      <c r="D11" s="11">
        <f>'Annual Model'!D11</f>
        <v>89597</v>
      </c>
      <c r="E11" s="11">
        <f>'Annual Model'!E11</f>
        <v>96250</v>
      </c>
      <c r="F11" s="11">
        <f>'Annual Model'!F11</f>
        <v>97059</v>
      </c>
      <c r="G11" s="11">
        <f>'Annual Model'!G11</f>
        <v>86377</v>
      </c>
      <c r="H11" s="11">
        <f>'Annual Model'!H11</f>
        <v>84001.632500000007</v>
      </c>
      <c r="I11" s="11">
        <f>'Annual Model'!I11</f>
        <v>85261.656987499999</v>
      </c>
      <c r="J11" s="11">
        <f>'Annual Model'!J11</f>
        <v>88075.291668087491</v>
      </c>
      <c r="K11" s="11">
        <f>'Annual Model'!K11</f>
        <v>91598.303334810989</v>
      </c>
      <c r="L11" s="11">
        <f>'Annual Model'!L11</f>
        <v>95262.235468203435</v>
      </c>
    </row>
    <row r="12" spans="2:12" x14ac:dyDescent="0.2">
      <c r="B12" s="23" t="s">
        <v>205</v>
      </c>
      <c r="C12" s="23"/>
      <c r="D12" s="51">
        <f>D11/C11-1</f>
        <v>0.24185008593446811</v>
      </c>
      <c r="E12" s="51">
        <f t="shared" ref="E12:L12" si="0">E11/D11-1</f>
        <v>7.4254718349944682E-2</v>
      </c>
      <c r="F12" s="51">
        <f t="shared" si="0"/>
        <v>8.40519480519486E-3</v>
      </c>
      <c r="G12" s="51">
        <f t="shared" si="0"/>
        <v>-0.11005676959375221</v>
      </c>
      <c r="H12" s="51">
        <f t="shared" si="0"/>
        <v>-2.7499999999999969E-2</v>
      </c>
      <c r="I12" s="51">
        <f t="shared" si="0"/>
        <v>1.4999999999999902E-2</v>
      </c>
      <c r="J12" s="51">
        <f t="shared" si="0"/>
        <v>3.2999999999999918E-2</v>
      </c>
      <c r="K12" s="51">
        <f t="shared" si="0"/>
        <v>4.0000000000000036E-2</v>
      </c>
      <c r="L12" s="51">
        <f t="shared" si="0"/>
        <v>4.0000000000000036E-2</v>
      </c>
    </row>
    <row r="13" spans="2:12" x14ac:dyDescent="0.2">
      <c r="B13" s="9" t="s">
        <v>310</v>
      </c>
      <c r="C13" s="11">
        <f>'Annual Model'!C12</f>
        <v>49205</v>
      </c>
      <c r="D13" s="11">
        <f>'Annual Model'!D12</f>
        <v>60025</v>
      </c>
      <c r="E13" s="11">
        <f>'Annual Model'!E12</f>
        <v>64194</v>
      </c>
      <c r="F13" s="11">
        <f>'Annual Model'!F12</f>
        <v>64802</v>
      </c>
      <c r="G13" s="11">
        <f>'Annual Model'!G12</f>
        <v>57533</v>
      </c>
      <c r="H13" s="11">
        <f>'Annual Model'!H12</f>
        <v>55777.08398000001</v>
      </c>
      <c r="I13" s="11">
        <f>'Annual Model'!I12</f>
        <v>56571.109411206249</v>
      </c>
      <c r="J13" s="11">
        <f>'Annual Model'!J12</f>
        <v>58393.918375942012</v>
      </c>
      <c r="K13" s="11">
        <f>'Annual Model'!K12</f>
        <v>60683.875959312281</v>
      </c>
      <c r="L13" s="11">
        <f>'Annual Model'!L12</f>
        <v>63111.230997684776</v>
      </c>
    </row>
    <row r="14" spans="2:12" x14ac:dyDescent="0.2">
      <c r="B14" s="23" t="s">
        <v>311</v>
      </c>
      <c r="C14" s="51">
        <f>C13/C11</f>
        <v>0.68200088706547657</v>
      </c>
      <c r="D14" s="51">
        <f t="shared" ref="D14:L14" si="1">D13/D11</f>
        <v>0.66994430617096556</v>
      </c>
      <c r="E14" s="51">
        <f t="shared" si="1"/>
        <v>0.6669506493506494</v>
      </c>
      <c r="F14" s="51">
        <f t="shared" si="1"/>
        <v>0.66765575577741376</v>
      </c>
      <c r="G14" s="51">
        <f t="shared" si="1"/>
        <v>0.66606851360894681</v>
      </c>
      <c r="H14" s="51">
        <f t="shared" si="1"/>
        <v>0.66400000000000003</v>
      </c>
      <c r="I14" s="51">
        <f t="shared" si="1"/>
        <v>0.66349999999999998</v>
      </c>
      <c r="J14" s="51">
        <f t="shared" si="1"/>
        <v>0.66300000000000003</v>
      </c>
      <c r="K14" s="51">
        <f t="shared" si="1"/>
        <v>0.66249999999999998</v>
      </c>
      <c r="L14" s="51">
        <f t="shared" si="1"/>
        <v>0.66249999999999998</v>
      </c>
    </row>
    <row r="15" spans="2:12" x14ac:dyDescent="0.2">
      <c r="B15" s="23" t="s">
        <v>312</v>
      </c>
      <c r="C15" s="51"/>
      <c r="D15" s="51">
        <f>D13/C13-1</f>
        <v>0.21989635199674828</v>
      </c>
      <c r="E15" s="51">
        <f t="shared" ref="E15:L15" si="2">E13/D13-1</f>
        <v>6.9454394002498976E-2</v>
      </c>
      <c r="F15" s="51">
        <f t="shared" si="2"/>
        <v>9.4712901517275405E-3</v>
      </c>
      <c r="G15" s="51">
        <f t="shared" si="2"/>
        <v>-0.11217246381284529</v>
      </c>
      <c r="H15" s="51">
        <f t="shared" si="2"/>
        <v>-3.0520153998574551E-2</v>
      </c>
      <c r="I15" s="51">
        <f t="shared" si="2"/>
        <v>1.4235692771084052E-2</v>
      </c>
      <c r="J15" s="51">
        <f t="shared" si="2"/>
        <v>3.2221552373775442E-2</v>
      </c>
      <c r="K15" s="51">
        <f t="shared" si="2"/>
        <v>3.9215686274509665E-2</v>
      </c>
      <c r="L15" s="51">
        <f t="shared" si="2"/>
        <v>4.0000000000000036E-2</v>
      </c>
    </row>
    <row r="16" spans="2:12" x14ac:dyDescent="0.2">
      <c r="B16" s="9" t="s">
        <v>13</v>
      </c>
      <c r="C16" s="11">
        <f>C11-C13</f>
        <v>22943</v>
      </c>
      <c r="D16" s="11">
        <f t="shared" ref="D16:L16" si="3">D11-D13</f>
        <v>29572</v>
      </c>
      <c r="E16" s="11">
        <f t="shared" si="3"/>
        <v>32056</v>
      </c>
      <c r="F16" s="11">
        <f t="shared" si="3"/>
        <v>32257</v>
      </c>
      <c r="G16" s="11">
        <f t="shared" si="3"/>
        <v>28844</v>
      </c>
      <c r="H16" s="11">
        <f t="shared" si="3"/>
        <v>28224.548519999997</v>
      </c>
      <c r="I16" s="11">
        <f t="shared" si="3"/>
        <v>28690.547576293749</v>
      </c>
      <c r="J16" s="11">
        <f t="shared" si="3"/>
        <v>29681.373292145479</v>
      </c>
      <c r="K16" s="11">
        <f t="shared" si="3"/>
        <v>30914.427375498708</v>
      </c>
      <c r="L16" s="11">
        <f t="shared" si="3"/>
        <v>32151.004470518659</v>
      </c>
    </row>
    <row r="17" spans="2:12" x14ac:dyDescent="0.2">
      <c r="B17" s="23" t="s">
        <v>313</v>
      </c>
      <c r="C17" s="114">
        <f>C16/C11</f>
        <v>0.31799911293452349</v>
      </c>
      <c r="D17" s="51">
        <f t="shared" ref="D17:L17" si="4">D16/D11</f>
        <v>0.33005569382903444</v>
      </c>
      <c r="E17" s="51">
        <f t="shared" si="4"/>
        <v>0.33304935064935065</v>
      </c>
      <c r="F17" s="51">
        <f t="shared" si="4"/>
        <v>0.33234424422258624</v>
      </c>
      <c r="G17" s="51">
        <f t="shared" si="4"/>
        <v>0.33393148639105319</v>
      </c>
      <c r="H17" s="51">
        <f t="shared" si="4"/>
        <v>0.33599999999999991</v>
      </c>
      <c r="I17" s="51">
        <f t="shared" si="4"/>
        <v>0.33650000000000002</v>
      </c>
      <c r="J17" s="51">
        <f t="shared" si="4"/>
        <v>0.33699999999999997</v>
      </c>
      <c r="K17" s="51">
        <f t="shared" si="4"/>
        <v>0.33749999999999997</v>
      </c>
      <c r="L17" s="51">
        <f t="shared" si="4"/>
        <v>0.33750000000000002</v>
      </c>
    </row>
    <row r="18" spans="2:12" x14ac:dyDescent="0.2">
      <c r="B18" s="9" t="s">
        <v>189</v>
      </c>
      <c r="C18" s="11">
        <f>'Annual Model'!C31</f>
        <v>7724</v>
      </c>
      <c r="D18" s="11">
        <f>'Annual Model'!D31</f>
        <v>11241</v>
      </c>
      <c r="E18" s="11">
        <f>'Annual Model'!E31</f>
        <v>13975</v>
      </c>
      <c r="F18" s="11">
        <f>'Annual Model'!F31</f>
        <v>12140</v>
      </c>
      <c r="G18" s="11">
        <f>'Annual Model'!G31</f>
        <v>13480</v>
      </c>
      <c r="H18" s="11">
        <f>'Annual Model'!H31</f>
        <v>11424.222019999994</v>
      </c>
      <c r="I18" s="11">
        <f>'Annual Model'!I31</f>
        <v>11638.216178793748</v>
      </c>
      <c r="J18" s="11">
        <f>'Annual Model'!J31</f>
        <v>12066.314958527979</v>
      </c>
      <c r="K18" s="11">
        <f>'Annual Model'!K31</f>
        <v>12594.76670853651</v>
      </c>
      <c r="L18" s="11">
        <f>'Annual Model'!L31</f>
        <v>13098.557376877972</v>
      </c>
    </row>
    <row r="19" spans="2:12" x14ac:dyDescent="0.2">
      <c r="B19" s="23" t="s">
        <v>314</v>
      </c>
      <c r="C19" s="51"/>
      <c r="D19" s="51">
        <f>D18/C18-1</f>
        <v>0.45533402382185395</v>
      </c>
      <c r="E19" s="51">
        <f t="shared" ref="E19:L19" si="5">E18/D18-1</f>
        <v>0.24321679565874921</v>
      </c>
      <c r="F19" s="51">
        <f t="shared" si="5"/>
        <v>-0.13130590339892667</v>
      </c>
      <c r="G19" s="51">
        <f t="shared" si="5"/>
        <v>0.11037891268533762</v>
      </c>
      <c r="H19" s="51">
        <f t="shared" si="5"/>
        <v>-0.15250578486646926</v>
      </c>
      <c r="I19" s="51">
        <f t="shared" si="5"/>
        <v>1.8731617647059107E-2</v>
      </c>
      <c r="J19" s="51">
        <f t="shared" si="5"/>
        <v>3.6783882783882227E-2</v>
      </c>
      <c r="K19" s="51">
        <f t="shared" si="5"/>
        <v>4.3795620437956817E-2</v>
      </c>
      <c r="L19" s="51">
        <f t="shared" si="5"/>
        <v>4.0000000000000036E-2</v>
      </c>
    </row>
    <row r="20" spans="2:12" x14ac:dyDescent="0.2">
      <c r="B20" s="23" t="s">
        <v>315</v>
      </c>
      <c r="C20" s="51">
        <f>C18/C11</f>
        <v>0.10705771469756611</v>
      </c>
      <c r="D20" s="51">
        <f t="shared" ref="D20:L20" si="6">D18/D11</f>
        <v>0.1254617900152907</v>
      </c>
      <c r="E20" s="51">
        <f t="shared" si="6"/>
        <v>0.14519480519480518</v>
      </c>
      <c r="F20" s="51">
        <f t="shared" si="6"/>
        <v>0.12507856046322341</v>
      </c>
      <c r="G20" s="51">
        <f t="shared" si="6"/>
        <v>0.15606006228509905</v>
      </c>
      <c r="H20" s="51">
        <f t="shared" si="6"/>
        <v>0.13599999999999993</v>
      </c>
      <c r="I20" s="51">
        <f t="shared" si="6"/>
        <v>0.13649999999999998</v>
      </c>
      <c r="J20" s="51">
        <f t="shared" si="6"/>
        <v>0.13699999999999993</v>
      </c>
      <c r="K20" s="51">
        <f t="shared" si="6"/>
        <v>0.13749999999999998</v>
      </c>
      <c r="L20" s="51">
        <f t="shared" si="6"/>
        <v>0.13750000000000001</v>
      </c>
    </row>
    <row r="21" spans="2:12" x14ac:dyDescent="0.2">
      <c r="B21" s="9" t="s">
        <v>195</v>
      </c>
      <c r="C21" s="11">
        <f>'Annual Model'!C17</f>
        <v>6314</v>
      </c>
      <c r="D21" s="11">
        <f>'Annual Model'!D17</f>
        <v>9647</v>
      </c>
      <c r="E21" s="11">
        <f>'Annual Model'!E17</f>
        <v>12093</v>
      </c>
      <c r="F21" s="11">
        <f>'Annual Model'!F17</f>
        <v>10159</v>
      </c>
      <c r="G21" s="11">
        <f>'Annual Model'!G17</f>
        <v>11557</v>
      </c>
      <c r="H21" s="11">
        <f>'Annual Model'!H17</f>
        <v>9740.4423036318112</v>
      </c>
      <c r="I21" s="11">
        <f>'Annual Model'!I17</f>
        <v>9879.4062042765654</v>
      </c>
      <c r="J21" s="11">
        <f>'Annual Model'!J17</f>
        <v>10237.044750676327</v>
      </c>
      <c r="K21" s="11">
        <f>'Annual Model'!K17</f>
        <v>10692.217858017009</v>
      </c>
      <c r="L21" s="11">
        <f>'Annual Model'!L17</f>
        <v>11119.798737983909</v>
      </c>
    </row>
    <row r="22" spans="2:12" x14ac:dyDescent="0.2">
      <c r="B22" s="23" t="s">
        <v>316</v>
      </c>
      <c r="C22" s="51">
        <f>C21/C11</f>
        <v>8.7514553417974164E-2</v>
      </c>
      <c r="D22" s="51">
        <f t="shared" ref="D22:L22" si="7">D21/D11</f>
        <v>0.10767101577061731</v>
      </c>
      <c r="E22" s="51">
        <f t="shared" si="7"/>
        <v>0.12564155844155844</v>
      </c>
      <c r="F22" s="51">
        <f t="shared" si="7"/>
        <v>0.10466829454249477</v>
      </c>
      <c r="G22" s="51">
        <f t="shared" si="7"/>
        <v>0.13379719138196511</v>
      </c>
      <c r="H22" s="51">
        <f t="shared" si="7"/>
        <v>0.11595539293396245</v>
      </c>
      <c r="I22" s="51">
        <f t="shared" si="7"/>
        <v>0.11587161865415026</v>
      </c>
      <c r="J22" s="51">
        <f t="shared" si="7"/>
        <v>0.11623060857129738</v>
      </c>
      <c r="K22" s="51">
        <f t="shared" si="7"/>
        <v>0.11672943131855525</v>
      </c>
      <c r="L22" s="51">
        <f t="shared" si="7"/>
        <v>0.11672829934476467</v>
      </c>
    </row>
    <row r="23" spans="2:12" x14ac:dyDescent="0.2">
      <c r="B23" s="23" t="s">
        <v>317</v>
      </c>
      <c r="C23" s="51"/>
      <c r="D23" s="51">
        <f>D21/C21-1</f>
        <v>0.52787456445993031</v>
      </c>
      <c r="E23" s="51">
        <f t="shared" ref="E23:L23" si="8">E21/D21-1</f>
        <v>0.25355032652638121</v>
      </c>
      <c r="F23" s="51">
        <f t="shared" si="8"/>
        <v>-0.15992723062928971</v>
      </c>
      <c r="G23" s="51">
        <f t="shared" si="8"/>
        <v>0.13761196968205525</v>
      </c>
      <c r="H23" s="51">
        <f t="shared" si="8"/>
        <v>-0.15718246053198826</v>
      </c>
      <c r="I23" s="51">
        <f t="shared" si="8"/>
        <v>1.4266693063100355E-2</v>
      </c>
      <c r="J23" s="51">
        <f t="shared" si="8"/>
        <v>3.6200409114157894E-2</v>
      </c>
      <c r="K23" s="51">
        <f t="shared" si="8"/>
        <v>4.4463330817285929E-2</v>
      </c>
      <c r="L23" s="51">
        <f t="shared" si="8"/>
        <v>3.9989914687933448E-2</v>
      </c>
    </row>
    <row r="24" spans="2:12" x14ac:dyDescent="0.2">
      <c r="B24" s="9" t="s">
        <v>318</v>
      </c>
      <c r="C24" s="11">
        <f>'Annual Model'!C20</f>
        <v>5623</v>
      </c>
      <c r="D24" s="11">
        <f>'Annual Model'!D20</f>
        <v>7739</v>
      </c>
      <c r="E24" s="11">
        <f>'Annual Model'!E20</f>
        <v>11208</v>
      </c>
      <c r="F24" s="11">
        <f>'Annual Model'!F20</f>
        <v>9036</v>
      </c>
      <c r="G24" s="11">
        <f>'Annual Model'!G20</f>
        <v>10175</v>
      </c>
      <c r="H24" s="11">
        <f>'Annual Model'!H20</f>
        <v>8379.1723036318108</v>
      </c>
      <c r="I24" s="11">
        <f>'Annual Model'!I20</f>
        <v>8562.3774792765653</v>
      </c>
      <c r="J24" s="11">
        <f>'Annual Model'!J20</f>
        <v>8959.5268874263274</v>
      </c>
      <c r="K24" s="11">
        <f>'Annual Model'!K20</f>
        <v>9446.6379413482591</v>
      </c>
      <c r="L24" s="11">
        <f>'Annual Model'!L20</f>
        <v>9905.3583192318765</v>
      </c>
    </row>
    <row r="25" spans="2:12" x14ac:dyDescent="0.2">
      <c r="B25" s="23" t="s">
        <v>319</v>
      </c>
      <c r="C25" s="51">
        <f>C24/C11</f>
        <v>7.7937018351167051E-2</v>
      </c>
      <c r="D25" s="51">
        <f t="shared" ref="D25:L25" si="9">D24/D11</f>
        <v>8.6375659899326981E-2</v>
      </c>
      <c r="E25" s="51">
        <f t="shared" si="9"/>
        <v>0.11644675324675324</v>
      </c>
      <c r="F25" s="51">
        <f t="shared" si="9"/>
        <v>9.309801254906809E-2</v>
      </c>
      <c r="G25" s="51">
        <f t="shared" si="9"/>
        <v>0.11779756185095569</v>
      </c>
      <c r="H25" s="51">
        <f t="shared" si="9"/>
        <v>9.9750112637772961E-2</v>
      </c>
      <c r="I25" s="51">
        <f t="shared" si="9"/>
        <v>0.10042471354423566</v>
      </c>
      <c r="J25" s="51">
        <f t="shared" si="9"/>
        <v>0.10172577027834756</v>
      </c>
      <c r="K25" s="51">
        <f t="shared" si="9"/>
        <v>0.10313114541891479</v>
      </c>
      <c r="L25" s="51">
        <f t="shared" si="9"/>
        <v>0.10397990631385173</v>
      </c>
    </row>
    <row r="26" spans="2:12" x14ac:dyDescent="0.2">
      <c r="B26" s="9" t="s">
        <v>320</v>
      </c>
      <c r="C26" s="11">
        <f>'Annual Model'!C23</f>
        <v>4281</v>
      </c>
      <c r="D26" s="11">
        <f>'Annual Model'!D23</f>
        <v>5835</v>
      </c>
      <c r="E26" s="11">
        <f>'Annual Model'!E23</f>
        <v>8442</v>
      </c>
      <c r="F26" s="11">
        <f>'Annual Model'!F23</f>
        <v>6437</v>
      </c>
      <c r="G26" s="11">
        <f>'Annual Model'!G23</f>
        <v>7726</v>
      </c>
      <c r="H26" s="11">
        <f>'Annual Model'!H23</f>
        <v>6267.9686321970639</v>
      </c>
      <c r="I26" s="11">
        <f>'Annual Model'!I23</f>
        <v>6405.0137068877648</v>
      </c>
      <c r="J26" s="11">
        <f>'Annual Model'!J23</f>
        <v>6702.0979465207638</v>
      </c>
      <c r="K26" s="11">
        <f>'Annual Model'!K23</f>
        <v>7066.4772307438316</v>
      </c>
      <c r="L26" s="11">
        <f>'Annual Model'!L23</f>
        <v>7409.6191110316822</v>
      </c>
    </row>
    <row r="27" spans="2:12" x14ac:dyDescent="0.2">
      <c r="B27" s="23" t="s">
        <v>205</v>
      </c>
      <c r="C27" s="51"/>
      <c r="D27" s="51">
        <f>D26/C26-1</f>
        <v>0.36299929922915197</v>
      </c>
      <c r="E27" s="51">
        <f t="shared" ref="E27:L27" si="10">E26/D26-1</f>
        <v>0.44678663239074545</v>
      </c>
      <c r="F27" s="51">
        <f t="shared" si="10"/>
        <v>-0.23750296138355842</v>
      </c>
      <c r="G27" s="51">
        <f t="shared" si="10"/>
        <v>0.20024856299518401</v>
      </c>
      <c r="H27" s="51">
        <f t="shared" si="10"/>
        <v>-0.18871749518546932</v>
      </c>
      <c r="I27" s="51">
        <f t="shared" si="10"/>
        <v>2.1864352349616478E-2</v>
      </c>
      <c r="J27" s="51">
        <f t="shared" si="10"/>
        <v>4.6383076325585915E-2</v>
      </c>
      <c r="K27" s="51">
        <f t="shared" si="10"/>
        <v>5.4367943758898196E-2</v>
      </c>
      <c r="L27" s="51">
        <f t="shared" si="10"/>
        <v>4.8559114971029382E-2</v>
      </c>
    </row>
  </sheetData>
  <pageMargins left="0.7" right="0.7" top="0.75" bottom="0.75" header="0.3" footer="0.3"/>
  <pageSetup orientation="portrait" horizontalDpi="90" verticalDpi="9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C13E4-0D3B-46CF-8524-52A2AEC851DC}">
  <dimension ref="B1:P56"/>
  <sheetViews>
    <sheetView showGridLines="0" zoomScale="115" zoomScaleNormal="115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K35" sqref="K35"/>
    </sheetView>
  </sheetViews>
  <sheetFormatPr defaultColWidth="9.140625" defaultRowHeight="12" x14ac:dyDescent="0.2"/>
  <cols>
    <col min="1" max="1" width="2.28515625" style="5" customWidth="1"/>
    <col min="2" max="2" width="75" style="5" customWidth="1"/>
    <col min="3" max="3" width="12.7109375" style="5" bestFit="1" customWidth="1"/>
    <col min="4" max="7" width="9.140625" style="5"/>
    <col min="8" max="8" width="10.5703125" style="5" bestFit="1" customWidth="1"/>
    <col min="9" max="16384" width="9.140625" style="5"/>
  </cols>
  <sheetData>
    <row r="1" spans="2:16" ht="20.25" x14ac:dyDescent="0.3">
      <c r="B1" s="7" t="s">
        <v>10</v>
      </c>
    </row>
    <row r="2" spans="2:16" x14ac:dyDescent="0.2">
      <c r="B2" s="6" t="s">
        <v>114</v>
      </c>
    </row>
    <row r="6" spans="2:16" x14ac:dyDescent="0.2">
      <c r="B6" s="1" t="s">
        <v>0</v>
      </c>
      <c r="C6" s="2">
        <v>43861</v>
      </c>
      <c r="D6" s="2">
        <v>44225</v>
      </c>
      <c r="E6" s="2">
        <v>44589</v>
      </c>
      <c r="F6" s="2">
        <v>44960</v>
      </c>
      <c r="G6" s="2">
        <v>45324</v>
      </c>
      <c r="H6" s="3"/>
      <c r="I6" s="3"/>
      <c r="J6" s="3"/>
      <c r="K6" s="3"/>
    </row>
    <row r="7" spans="2:16" x14ac:dyDescent="0.2">
      <c r="B7" s="1" t="s">
        <v>1</v>
      </c>
      <c r="C7" s="4" t="s">
        <v>2</v>
      </c>
      <c r="D7" s="4" t="s">
        <v>3</v>
      </c>
      <c r="E7" s="4" t="s">
        <v>4</v>
      </c>
      <c r="F7" s="4" t="s">
        <v>5</v>
      </c>
      <c r="G7" s="4" t="s">
        <v>104</v>
      </c>
      <c r="H7" s="4" t="s">
        <v>6</v>
      </c>
      <c r="I7" s="4" t="s">
        <v>7</v>
      </c>
      <c r="J7" s="4" t="s">
        <v>8</v>
      </c>
      <c r="K7" s="4" t="s">
        <v>9</v>
      </c>
      <c r="L7" s="4" t="s">
        <v>102</v>
      </c>
    </row>
    <row r="10" spans="2:16" x14ac:dyDescent="0.2">
      <c r="B10" s="8" t="s">
        <v>12</v>
      </c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2:16" x14ac:dyDescent="0.2">
      <c r="B11" s="5" t="s">
        <v>115</v>
      </c>
      <c r="D11" s="17">
        <f>'Annual Model'!D11/'Annual Model'!C11-1</f>
        <v>0.24185008593446811</v>
      </c>
      <c r="E11" s="17">
        <f>'Annual Model'!E11/'Annual Model'!D11-1</f>
        <v>7.4254718349944682E-2</v>
      </c>
      <c r="F11" s="17">
        <f>'Annual Model'!F11/'Annual Model'!E11-1</f>
        <v>8.40519480519486E-3</v>
      </c>
      <c r="G11" s="17">
        <f>'Annual Model'!G11/'Annual Model'!F11-1</f>
        <v>-0.11005676959375221</v>
      </c>
      <c r="H11" s="31">
        <v>-2.75E-2</v>
      </c>
      <c r="I11" s="31">
        <v>1.4999999999999999E-2</v>
      </c>
      <c r="J11" s="31">
        <v>3.3000000000000002E-2</v>
      </c>
      <c r="K11" s="31">
        <v>0.04</v>
      </c>
      <c r="L11" s="31">
        <v>0.04</v>
      </c>
    </row>
    <row r="12" spans="2:16" x14ac:dyDescent="0.2">
      <c r="B12" s="5" t="s">
        <v>116</v>
      </c>
      <c r="C12" s="17">
        <f>'Annual Model'!C12/'Annual Model'!C11</f>
        <v>0.68200088706547657</v>
      </c>
      <c r="D12" s="17">
        <f>'Annual Model'!D12/'Annual Model'!D11</f>
        <v>0.66994430617096556</v>
      </c>
      <c r="E12" s="17">
        <f>'Annual Model'!E12/'Annual Model'!E11</f>
        <v>0.6669506493506494</v>
      </c>
      <c r="F12" s="17">
        <f>'Annual Model'!F12/'Annual Model'!F11</f>
        <v>0.66765575577741376</v>
      </c>
      <c r="G12" s="17">
        <f>'Annual Model'!G12/'Annual Model'!G11</f>
        <v>0.66606851360894681</v>
      </c>
      <c r="H12" s="31">
        <v>0.66400000000000003</v>
      </c>
      <c r="I12" s="31">
        <v>0.66349999999999998</v>
      </c>
      <c r="J12" s="31">
        <v>0.66300000000000003</v>
      </c>
      <c r="K12" s="31">
        <v>0.66249999999999998</v>
      </c>
      <c r="L12" s="31">
        <v>0.66249999999999998</v>
      </c>
    </row>
    <row r="13" spans="2:16" x14ac:dyDescent="0.2">
      <c r="B13" s="5" t="s">
        <v>117</v>
      </c>
      <c r="C13" s="17">
        <f>'Annual Model'!C15/'Annual Model'!C11</f>
        <v>0.21299273715141098</v>
      </c>
      <c r="D13" s="17">
        <f>'Annual Model'!D15/'Annual Model'!D11</f>
        <v>0.2067703159704008</v>
      </c>
      <c r="E13" s="17">
        <f>'Annual Model'!E15/'Annual Model'!E11</f>
        <v>0.19014025974025975</v>
      </c>
      <c r="F13" s="17">
        <f>'Annual Model'!F15/'Annual Model'!F11</f>
        <v>0.2094808312469735</v>
      </c>
      <c r="G13" s="17">
        <f>'Annual Model'!G15/'Annual Model'!G11</f>
        <v>0.18025631823286292</v>
      </c>
      <c r="H13" s="31">
        <v>0.2</v>
      </c>
      <c r="I13" s="31">
        <v>0.2</v>
      </c>
      <c r="J13" s="31">
        <v>0.2</v>
      </c>
      <c r="K13" s="31">
        <v>0.2</v>
      </c>
      <c r="L13" s="31">
        <v>0.2</v>
      </c>
      <c r="P13" s="17"/>
    </row>
    <row r="14" spans="2:16" x14ac:dyDescent="0.2">
      <c r="B14" s="5" t="s">
        <v>103</v>
      </c>
      <c r="C14" s="5">
        <f>'Annual Model'!C19</f>
        <v>0</v>
      </c>
      <c r="D14" s="5">
        <f>'Annual Model'!D19</f>
        <v>1060</v>
      </c>
      <c r="E14" s="5">
        <f>'Annual Model'!E19</f>
        <v>0</v>
      </c>
      <c r="F14" s="5">
        <f>'Annual Model'!F19</f>
        <v>0</v>
      </c>
      <c r="G14" s="5">
        <f>'Annual Model'!G19</f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</row>
    <row r="15" spans="2:16" x14ac:dyDescent="0.2">
      <c r="B15" s="5" t="s">
        <v>16</v>
      </c>
      <c r="C15" s="16">
        <f>'Annual Model'!C22</f>
        <v>0.23866263560377024</v>
      </c>
      <c r="D15" s="16">
        <f>'Annual Model'!D22</f>
        <v>0.24602661842615325</v>
      </c>
      <c r="E15" s="16">
        <f>'Annual Model'!E22</f>
        <v>0.2467880085653105</v>
      </c>
      <c r="F15" s="16">
        <f>'Annual Model'!F22</f>
        <v>0.2876272687029659</v>
      </c>
      <c r="G15" s="16">
        <f>'Annual Model'!G22</f>
        <v>0.24068796068796069</v>
      </c>
      <c r="H15" s="16">
        <f>AVERAGE(C15:G15)</f>
        <v>0.25195849839723211</v>
      </c>
      <c r="I15" s="16">
        <f>H15</f>
        <v>0.25195849839723211</v>
      </c>
      <c r="J15" s="16">
        <f t="shared" ref="J15:L15" si="0">I15</f>
        <v>0.25195849839723211</v>
      </c>
      <c r="K15" s="16">
        <f t="shared" si="0"/>
        <v>0.25195849839723211</v>
      </c>
      <c r="L15" s="16">
        <f t="shared" si="0"/>
        <v>0.25195849839723211</v>
      </c>
    </row>
    <row r="16" spans="2:16" x14ac:dyDescent="0.2">
      <c r="B16" s="5" t="s">
        <v>118</v>
      </c>
      <c r="C16" s="14">
        <f>'Annual Model'!C28</f>
        <v>779.78142076502729</v>
      </c>
      <c r="D16" s="14">
        <f>'Annual Model'!D28</f>
        <v>750.96525096525102</v>
      </c>
      <c r="E16" s="14">
        <f>'Annual Model'!E28</f>
        <v>699.42004971002484</v>
      </c>
      <c r="F16" s="14">
        <f>'Annual Model'!F28</f>
        <v>631.07843137254906</v>
      </c>
      <c r="G16" s="14">
        <f>'Annual Model'!G28</f>
        <v>583.97581254724105</v>
      </c>
      <c r="H16" s="14">
        <f>G16*(1+H17)</f>
        <v>554.77702191987896</v>
      </c>
      <c r="I16" s="14">
        <f t="shared" ref="I16:L16" si="1">H16*(1+I17)</f>
        <v>527.03817082388503</v>
      </c>
      <c r="J16" s="14">
        <f t="shared" si="1"/>
        <v>505.95664399092959</v>
      </c>
      <c r="K16" s="14">
        <f t="shared" si="1"/>
        <v>490.77794467120168</v>
      </c>
      <c r="L16" s="14">
        <f t="shared" si="1"/>
        <v>476.0546063310656</v>
      </c>
    </row>
    <row r="17" spans="2:12" x14ac:dyDescent="0.2">
      <c r="B17" s="23" t="s">
        <v>120</v>
      </c>
      <c r="C17" s="14"/>
      <c r="D17" s="17">
        <f>D16/C16-1</f>
        <v>-3.6954163092915659E-2</v>
      </c>
      <c r="E17" s="17">
        <f t="shared" ref="E17:G17" si="2">E16/D16-1</f>
        <v>-6.8638597044234362E-2</v>
      </c>
      <c r="F17" s="17">
        <f t="shared" si="2"/>
        <v>-9.7711837637210697E-2</v>
      </c>
      <c r="G17" s="17">
        <f t="shared" si="2"/>
        <v>-7.4638296103486379E-2</v>
      </c>
      <c r="H17" s="31">
        <v>-0.05</v>
      </c>
      <c r="I17" s="31">
        <v>-0.05</v>
      </c>
      <c r="J17" s="31">
        <v>-0.04</v>
      </c>
      <c r="K17" s="31">
        <v>-0.03</v>
      </c>
      <c r="L17" s="31">
        <v>-0.03</v>
      </c>
    </row>
    <row r="18" spans="2:12" x14ac:dyDescent="0.2">
      <c r="B18" s="5" t="s">
        <v>119</v>
      </c>
      <c r="C18" s="14">
        <f>'Annual Model'!C29</f>
        <v>779.78142076502729</v>
      </c>
      <c r="D18" s="14">
        <f>'Annual Model'!D29</f>
        <v>752.90322580645159</v>
      </c>
      <c r="E18" s="14">
        <f>'Annual Model'!E29</f>
        <v>701.1627906976745</v>
      </c>
      <c r="F18" s="14">
        <f>'Annual Model'!F29</f>
        <v>632.94001966568339</v>
      </c>
      <c r="G18" s="14">
        <f>'Annual Model'!G29</f>
        <v>585.30303030303037</v>
      </c>
      <c r="H18" s="14">
        <f>G18*(1+H19)</f>
        <v>556.03787878787887</v>
      </c>
      <c r="I18" s="14">
        <f t="shared" ref="I18:L18" si="3">H18*(1+I19)</f>
        <v>528.23598484848492</v>
      </c>
      <c r="J18" s="14">
        <f t="shared" si="3"/>
        <v>507.10654545454548</v>
      </c>
      <c r="K18" s="14">
        <f t="shared" si="3"/>
        <v>491.89334909090911</v>
      </c>
      <c r="L18" s="14">
        <f t="shared" si="3"/>
        <v>477.13654861818185</v>
      </c>
    </row>
    <row r="19" spans="2:12" x14ac:dyDescent="0.2">
      <c r="B19" s="23" t="s">
        <v>120</v>
      </c>
      <c r="D19" s="17">
        <f>D18/C18-1</f>
        <v>-3.4468883513800619E-2</v>
      </c>
      <c r="E19" s="17">
        <f t="shared" ref="E19:G19" si="4">E18/D18-1</f>
        <v>-6.8721229150475183E-2</v>
      </c>
      <c r="F19" s="17">
        <f t="shared" si="4"/>
        <v>-9.7299474440318945E-2</v>
      </c>
      <c r="G19" s="17">
        <f t="shared" si="4"/>
        <v>-7.5263038965074025E-2</v>
      </c>
      <c r="H19" s="31">
        <v>-0.05</v>
      </c>
      <c r="I19" s="31">
        <v>-0.05</v>
      </c>
      <c r="J19" s="31">
        <v>-0.04</v>
      </c>
      <c r="K19" s="31">
        <v>-0.03</v>
      </c>
      <c r="L19" s="31">
        <v>-0.03</v>
      </c>
    </row>
    <row r="20" spans="2:12" x14ac:dyDescent="0.2">
      <c r="B20" s="5" t="s">
        <v>24</v>
      </c>
      <c r="C20" s="14">
        <f>'Annual Model'!C18</f>
        <v>691</v>
      </c>
      <c r="D20" s="14">
        <f>'Annual Model'!D18</f>
        <v>848</v>
      </c>
      <c r="E20" s="14">
        <f>'Annual Model'!E18</f>
        <v>885</v>
      </c>
      <c r="F20" s="14">
        <f>'Annual Model'!F18</f>
        <v>1123</v>
      </c>
      <c r="G20" s="14">
        <f>'Annual Model'!G18</f>
        <v>1382</v>
      </c>
      <c r="H20" s="13">
        <f>G20*(1+H21)</f>
        <v>1361.27</v>
      </c>
      <c r="I20" s="13">
        <f t="shared" ref="I20:L20" si="5">H20*(1+I21)</f>
        <v>1317.0287250000001</v>
      </c>
      <c r="J20" s="13">
        <f t="shared" si="5"/>
        <v>1277.5178632500001</v>
      </c>
      <c r="K20" s="13">
        <f t="shared" si="5"/>
        <v>1245.57991666875</v>
      </c>
      <c r="L20" s="13">
        <f t="shared" si="5"/>
        <v>1214.4404187520313</v>
      </c>
    </row>
    <row r="21" spans="2:12" x14ac:dyDescent="0.2">
      <c r="B21" s="23" t="s">
        <v>120</v>
      </c>
      <c r="C21" s="14"/>
      <c r="D21" s="17">
        <f>D20/C20-1</f>
        <v>0.22720694645441397</v>
      </c>
      <c r="E21" s="17">
        <f t="shared" ref="E21:G21" si="6">E20/D20-1</f>
        <v>4.3632075471698117E-2</v>
      </c>
      <c r="F21" s="17">
        <f t="shared" si="6"/>
        <v>0.26892655367231644</v>
      </c>
      <c r="G21" s="17">
        <f t="shared" si="6"/>
        <v>0.23063223508459485</v>
      </c>
      <c r="H21" s="31">
        <v>-1.4999999999999999E-2</v>
      </c>
      <c r="I21" s="31">
        <v>-3.2500000000000001E-2</v>
      </c>
      <c r="J21" s="31">
        <v>-0.03</v>
      </c>
      <c r="K21" s="31">
        <v>-2.5000000000000001E-2</v>
      </c>
      <c r="L21" s="31">
        <v>-2.5000000000000001E-2</v>
      </c>
    </row>
    <row r="22" spans="2:12" x14ac:dyDescent="0.2">
      <c r="B22" s="23"/>
      <c r="D22" s="17"/>
      <c r="E22" s="17"/>
      <c r="F22" s="17"/>
      <c r="G22" s="17"/>
      <c r="H22" s="31"/>
      <c r="I22" s="31"/>
      <c r="J22" s="31"/>
      <c r="K22" s="31"/>
      <c r="L22" s="31"/>
    </row>
    <row r="23" spans="2:12" x14ac:dyDescent="0.2">
      <c r="B23" s="8" t="s">
        <v>31</v>
      </c>
      <c r="C23" s="8"/>
      <c r="D23" s="8"/>
      <c r="E23" s="8"/>
      <c r="F23" s="8"/>
      <c r="G23" s="8"/>
      <c r="H23" s="8"/>
      <c r="I23" s="8"/>
      <c r="J23" s="8"/>
      <c r="K23" s="8"/>
      <c r="L23" s="8"/>
    </row>
    <row r="24" spans="2:12" x14ac:dyDescent="0.2">
      <c r="B24" s="5" t="s">
        <v>160</v>
      </c>
      <c r="C24" s="17">
        <f>'Annual Model'!C36/'Annual Model'!C11</f>
        <v>2.2176636913012141E-3</v>
      </c>
      <c r="D24" s="17">
        <f>'Annual Model'!D36/'Annual Model'!D11</f>
        <v>5.6475105193254235E-3</v>
      </c>
      <c r="E24" s="17">
        <f>'Annual Model'!E36/'Annual Model'!E11</f>
        <v>2.8155844155844157E-3</v>
      </c>
      <c r="F24" s="17">
        <f>'Annual Model'!F36/'Annual Model'!F11</f>
        <v>3.9563564429882852E-3</v>
      </c>
      <c r="G24" s="17">
        <f>'Annual Model'!G36/'Annual Model'!G11</f>
        <v>3.5541868784514396E-3</v>
      </c>
      <c r="H24" s="17">
        <f>AVERAGE(C24:G24)</f>
        <v>3.6382603895301555E-3</v>
      </c>
      <c r="I24" s="17">
        <f>H24</f>
        <v>3.6382603895301555E-3</v>
      </c>
      <c r="J24" s="17">
        <f t="shared" ref="J24:L24" si="7">I24</f>
        <v>3.6382603895301555E-3</v>
      </c>
      <c r="K24" s="17">
        <f t="shared" si="7"/>
        <v>3.6382603895301555E-3</v>
      </c>
      <c r="L24" s="17">
        <f t="shared" si="7"/>
        <v>3.6382603895301555E-3</v>
      </c>
    </row>
    <row r="25" spans="2:12" x14ac:dyDescent="0.2">
      <c r="B25" s="5" t="s">
        <v>39</v>
      </c>
      <c r="C25" s="14">
        <f>'Annual Model'!C41</f>
        <v>3891</v>
      </c>
      <c r="D25" s="14">
        <f>'Annual Model'!D41</f>
        <v>3832</v>
      </c>
      <c r="E25" s="14">
        <f>'Annual Model'!E41</f>
        <v>4108</v>
      </c>
      <c r="F25" s="14">
        <f>'Annual Model'!F41</f>
        <v>3518</v>
      </c>
      <c r="G25" s="14">
        <f>'Annual Model'!G41</f>
        <v>3733</v>
      </c>
      <c r="H25" s="13">
        <v>3733</v>
      </c>
      <c r="I25" s="13">
        <v>3733</v>
      </c>
      <c r="J25" s="13">
        <v>3733</v>
      </c>
      <c r="K25" s="13">
        <v>3733</v>
      </c>
      <c r="L25" s="13">
        <v>3733</v>
      </c>
    </row>
    <row r="27" spans="2:12" x14ac:dyDescent="0.2">
      <c r="B27" s="5" t="s">
        <v>47</v>
      </c>
      <c r="C27" s="14">
        <f>'Annual Model'!C50</f>
        <v>597</v>
      </c>
      <c r="D27" s="14">
        <f>'Annual Model'!D50</f>
        <v>1112</v>
      </c>
      <c r="E27" s="14">
        <f>'Annual Model'!E50</f>
        <v>868</v>
      </c>
      <c r="F27" s="14">
        <f>'Annual Model'!F50</f>
        <v>585</v>
      </c>
      <c r="G27" s="14">
        <f>'Annual Model'!G50</f>
        <v>537</v>
      </c>
      <c r="H27" s="13">
        <v>537</v>
      </c>
      <c r="I27" s="13">
        <v>537</v>
      </c>
      <c r="J27" s="13">
        <v>537</v>
      </c>
      <c r="K27" s="13">
        <v>537</v>
      </c>
      <c r="L27" s="13">
        <v>537</v>
      </c>
    </row>
    <row r="28" spans="2:12" x14ac:dyDescent="0.2">
      <c r="B28" s="5" t="s">
        <v>48</v>
      </c>
      <c r="C28" s="14">
        <f>'Annual Model'!C51</f>
        <v>501</v>
      </c>
      <c r="D28" s="14">
        <f>'Annual Model'!D51</f>
        <v>541</v>
      </c>
      <c r="E28" s="14">
        <f>'Annual Model'!E51</f>
        <v>636</v>
      </c>
      <c r="F28" s="14">
        <f>'Annual Model'!F51</f>
        <v>522</v>
      </c>
      <c r="G28" s="14">
        <f>'Annual Model'!G51</f>
        <v>487</v>
      </c>
      <c r="H28" s="13">
        <v>487</v>
      </c>
      <c r="I28" s="13">
        <v>487</v>
      </c>
      <c r="J28" s="13">
        <v>487</v>
      </c>
      <c r="K28" s="13">
        <v>487</v>
      </c>
      <c r="L28" s="13">
        <v>487</v>
      </c>
    </row>
    <row r="29" spans="2:12" x14ac:dyDescent="0.2">
      <c r="B29" s="25" t="s">
        <v>50</v>
      </c>
      <c r="C29" s="14">
        <f>'Annual Model'!C53</f>
        <v>684</v>
      </c>
      <c r="D29" s="14">
        <f>'Annual Model'!D53</f>
        <v>1350</v>
      </c>
      <c r="E29" s="14">
        <f>'Annual Model'!E53</f>
        <v>1561</v>
      </c>
      <c r="F29" s="14">
        <f>'Annual Model'!F53</f>
        <v>1109</v>
      </c>
      <c r="G29" s="14">
        <f>'Annual Model'!G53</f>
        <v>954</v>
      </c>
      <c r="H29" s="13">
        <v>954</v>
      </c>
      <c r="I29" s="13">
        <v>954</v>
      </c>
      <c r="J29" s="13">
        <v>954</v>
      </c>
      <c r="K29" s="13">
        <v>954</v>
      </c>
      <c r="L29" s="13">
        <v>954</v>
      </c>
    </row>
    <row r="33" spans="2:12" x14ac:dyDescent="0.2">
      <c r="B33" s="8" t="s">
        <v>68</v>
      </c>
      <c r="C33" s="8"/>
      <c r="D33" s="8"/>
      <c r="E33" s="8"/>
      <c r="F33" s="8"/>
      <c r="G33" s="8"/>
      <c r="H33" s="8"/>
      <c r="I33" s="8"/>
      <c r="J33" s="8"/>
      <c r="K33" s="8"/>
      <c r="L33" s="8"/>
    </row>
    <row r="34" spans="2:12" x14ac:dyDescent="0.2">
      <c r="B34" s="5" t="s">
        <v>121</v>
      </c>
      <c r="C34" s="17">
        <f>'Annual Model'!C84/'Annual Model'!C11</f>
        <v>6.4866662970560511E-3</v>
      </c>
      <c r="D34" s="17">
        <f>'Annual Model'!D84/'Annual Model'!D11</f>
        <v>5.3461611437882967E-3</v>
      </c>
      <c r="E34" s="17">
        <f>'Annual Model'!E84/'Annual Model'!E11</f>
        <v>5.3714285714285713E-3</v>
      </c>
      <c r="F34" s="17">
        <f>'Annual Model'!F84/'Annual Model'!F11</f>
        <v>5.4605961322494569E-3</v>
      </c>
      <c r="G34" s="17">
        <f>'Annual Model'!G84/'Annual Model'!G11</f>
        <v>5.7770008219780733E-3</v>
      </c>
      <c r="H34" s="31">
        <f>AVERAGE(C34:G34)</f>
        <v>5.6883705933000895E-3</v>
      </c>
      <c r="I34" s="31">
        <f>H34</f>
        <v>5.6883705933000895E-3</v>
      </c>
      <c r="J34" s="31">
        <f t="shared" ref="J34:L34" si="8">I34</f>
        <v>5.6883705933000895E-3</v>
      </c>
      <c r="K34" s="31">
        <f t="shared" si="8"/>
        <v>5.6883705933000895E-3</v>
      </c>
      <c r="L34" s="31">
        <f t="shared" si="8"/>
        <v>5.6883705933000895E-3</v>
      </c>
    </row>
    <row r="35" spans="2:12" x14ac:dyDescent="0.2">
      <c r="B35" s="5" t="s">
        <v>73</v>
      </c>
      <c r="C35" s="14">
        <f>'Annual Model'!C86</f>
        <v>117</v>
      </c>
      <c r="D35" s="14">
        <f>'Annual Model'!D86</f>
        <v>139</v>
      </c>
      <c r="E35" s="14">
        <f>'Annual Model'!E86</f>
        <v>34</v>
      </c>
      <c r="F35" s="14">
        <f>'Annual Model'!F86</f>
        <v>2118</v>
      </c>
      <c r="G35" s="14">
        <f>'Annual Model'!G86</f>
        <v>83</v>
      </c>
      <c r="H35" s="13">
        <v>83</v>
      </c>
      <c r="I35" s="13">
        <v>83</v>
      </c>
      <c r="J35" s="13">
        <v>83</v>
      </c>
      <c r="K35" s="13">
        <v>83</v>
      </c>
      <c r="L35" s="13">
        <v>83</v>
      </c>
    </row>
    <row r="36" spans="2:12" x14ac:dyDescent="0.2">
      <c r="B36" s="5" t="s">
        <v>108</v>
      </c>
      <c r="C36" s="14">
        <f>'Annual Model'!C87</f>
        <v>0</v>
      </c>
      <c r="D36" s="14">
        <f>'Annual Model'!D87</f>
        <v>0</v>
      </c>
      <c r="E36" s="14">
        <f>'Annual Model'!E87</f>
        <v>0</v>
      </c>
      <c r="F36" s="14">
        <f>'Annual Model'!F87</f>
        <v>421</v>
      </c>
      <c r="G36" s="14">
        <f>'Annual Model'!G87</f>
        <v>-79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</row>
    <row r="37" spans="2:12" x14ac:dyDescent="0.2">
      <c r="B37" s="5" t="s">
        <v>122</v>
      </c>
      <c r="C37" s="14">
        <f>'Annual Model'!C88</f>
        <v>0</v>
      </c>
      <c r="D37" s="14">
        <f>'Annual Model'!D88</f>
        <v>0</v>
      </c>
      <c r="E37" s="14">
        <f>'Annual Model'!E88</f>
        <v>0</v>
      </c>
      <c r="F37" s="14">
        <f>'Annual Model'!F88</f>
        <v>0</v>
      </c>
      <c r="G37" s="14">
        <f>'Annual Model'!G88</f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</row>
    <row r="38" spans="2:12" x14ac:dyDescent="0.2">
      <c r="B38" s="5" t="s">
        <v>103</v>
      </c>
      <c r="C38" s="14">
        <f>'Annual Model'!C89</f>
        <v>0</v>
      </c>
      <c r="D38" s="14">
        <f>'Annual Model'!D89</f>
        <v>1060</v>
      </c>
      <c r="E38" s="14">
        <f>'Annual Model'!E89</f>
        <v>0</v>
      </c>
      <c r="F38" s="14">
        <f>'Annual Model'!F89</f>
        <v>0</v>
      </c>
      <c r="G38" s="14">
        <f>'Annual Model'!G89</f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</row>
    <row r="39" spans="2:12" x14ac:dyDescent="0.2">
      <c r="B39" s="5" t="s">
        <v>123</v>
      </c>
      <c r="C39" s="17">
        <f>'Annual Model'!C90/'Annual Model'!C11</f>
        <v>1.3583190109219938E-3</v>
      </c>
      <c r="D39" s="17">
        <f>'Annual Model'!D90/'Annual Model'!D11</f>
        <v>1.7299686373427681E-3</v>
      </c>
      <c r="E39" s="17">
        <f>'Annual Model'!E90/'Annual Model'!E11</f>
        <v>2.3896103896103894E-3</v>
      </c>
      <c r="F39" s="17">
        <f>'Annual Model'!F90/'Annual Model'!F11</f>
        <v>2.2975715801728845E-3</v>
      </c>
      <c r="G39" s="17">
        <f>'Annual Model'!G90/'Annual Model'!G11</f>
        <v>2.4312027507322549E-3</v>
      </c>
      <c r="H39" s="31">
        <v>2.5000000000000001E-3</v>
      </c>
      <c r="I39" s="31">
        <v>2.5000000000000001E-3</v>
      </c>
      <c r="J39" s="31">
        <v>2.5000000000000001E-3</v>
      </c>
      <c r="K39" s="31">
        <v>2.5000000000000001E-3</v>
      </c>
      <c r="L39" s="31">
        <v>2.5000000000000001E-3</v>
      </c>
    </row>
    <row r="41" spans="2:12" x14ac:dyDescent="0.2">
      <c r="B41" s="5" t="s">
        <v>124</v>
      </c>
      <c r="C41" s="17">
        <f>-'Annual Model'!C102/'Annual Model'!C11</f>
        <v>1.0298275766480014E-2</v>
      </c>
      <c r="D41" s="17">
        <f>-'Annual Model'!D102/'Annual Model'!D11</f>
        <v>3.4532406218958221E-2</v>
      </c>
      <c r="E41" s="17">
        <f>-'Annual Model'!E102/'Annual Model'!E11</f>
        <v>3.1844155844155841E-2</v>
      </c>
      <c r="F41" s="17">
        <f>-'Annual Model'!F102/'Annual Model'!F11</f>
        <v>1.2250280757065289E-2</v>
      </c>
      <c r="G41" s="17">
        <f>-'Annual Model'!G102/'Annual Model'!G11</f>
        <v>2.0665223381224167E-2</v>
      </c>
      <c r="H41" s="17">
        <f>AVERAGE(C41:G41)</f>
        <v>2.1918068393576705E-2</v>
      </c>
      <c r="I41" s="17">
        <f>H41</f>
        <v>2.1918068393576705E-2</v>
      </c>
      <c r="J41" s="17">
        <f t="shared" ref="J41:L41" si="9">I41</f>
        <v>2.1918068393576705E-2</v>
      </c>
      <c r="K41" s="17">
        <f t="shared" si="9"/>
        <v>2.1918068393576705E-2</v>
      </c>
      <c r="L41" s="17">
        <f t="shared" si="9"/>
        <v>2.1918068393576705E-2</v>
      </c>
    </row>
    <row r="42" spans="2:12" x14ac:dyDescent="0.2">
      <c r="B42" s="5" t="s">
        <v>125</v>
      </c>
      <c r="C42" s="17">
        <f>'Annual Model'!C103/'Annual Model'!C11</f>
        <v>9.6329766590896489E-3</v>
      </c>
      <c r="D42" s="17">
        <f>'Annual Model'!D103/'Annual Model'!D11</f>
        <v>3.265734343783832E-2</v>
      </c>
      <c r="E42" s="17">
        <f>'Annual Model'!E103/'Annual Model'!E11</f>
        <v>3.4212987012987015E-2</v>
      </c>
      <c r="F42" s="17">
        <f>'Annual Model'!F103/'Annual Model'!F11</f>
        <v>1.209573558351106E-2</v>
      </c>
      <c r="G42" s="17">
        <f>'Annual Model'!G103/'Annual Model'!G11</f>
        <v>1.9935862556004491E-2</v>
      </c>
      <c r="H42" s="17">
        <f>AVERAGE(C42:G42)</f>
        <v>2.1706981049886106E-2</v>
      </c>
      <c r="I42" s="17">
        <f>H42</f>
        <v>2.1706981049886106E-2</v>
      </c>
      <c r="J42" s="17">
        <f t="shared" ref="J42:L42" si="10">I42</f>
        <v>2.1706981049886106E-2</v>
      </c>
      <c r="K42" s="17">
        <f t="shared" si="10"/>
        <v>2.1706981049886106E-2</v>
      </c>
      <c r="L42" s="17">
        <f t="shared" si="10"/>
        <v>2.1706981049886106E-2</v>
      </c>
    </row>
    <row r="43" spans="2:12" x14ac:dyDescent="0.2">
      <c r="B43" s="5" t="s">
        <v>126</v>
      </c>
      <c r="C43" s="17">
        <f>-'Annual Model'!C104/'Annual Model'!C11</f>
        <v>2.0568830736818762E-2</v>
      </c>
      <c r="D43" s="17">
        <f>-'Annual Model'!D104/'Annual Model'!D11</f>
        <v>1.9989508577296113E-2</v>
      </c>
      <c r="E43" s="17">
        <f>-'Annual Model'!E104/'Annual Model'!E11</f>
        <v>1.9251948051948051E-2</v>
      </c>
      <c r="F43" s="17">
        <f>-'Annual Model'!F104/'Annual Model'!F11</f>
        <v>1.8844208162045767E-2</v>
      </c>
      <c r="G43" s="17">
        <f>-'Annual Model'!G104/'Annual Model'!G11</f>
        <v>2.2737534297324519E-2</v>
      </c>
      <c r="H43" s="31">
        <v>2.35E-2</v>
      </c>
      <c r="I43" s="31">
        <v>2.1999999999999999E-2</v>
      </c>
      <c r="J43" s="31">
        <v>0.02</v>
      </c>
      <c r="K43" s="31">
        <v>0.02</v>
      </c>
      <c r="L43" s="31">
        <v>0.02</v>
      </c>
    </row>
    <row r="44" spans="2:12" x14ac:dyDescent="0.2">
      <c r="B44" s="5" t="s">
        <v>127</v>
      </c>
      <c r="C44" s="17">
        <f>'Annual Model'!C105/'Annual Model'!C11</f>
        <v>2.2592448855131122E-3</v>
      </c>
      <c r="D44" s="17">
        <f>'Annual Model'!D105/'Annual Model'!D11</f>
        <v>1.0044979184570912E-3</v>
      </c>
      <c r="E44" s="17">
        <f>'Annual Model'!E105/'Annual Model'!E11</f>
        <v>1.174025974025974E-3</v>
      </c>
      <c r="F44" s="17">
        <f>'Annual Model'!F105/'Annual Model'!F11</f>
        <v>4.6363552066268972E-4</v>
      </c>
      <c r="G44" s="17">
        <f>'Annual Model'!G105/'Annual Model'!G11</f>
        <v>6.1358926566099775E-4</v>
      </c>
      <c r="H44" s="31">
        <v>5.0000000000000001E-4</v>
      </c>
      <c r="I44" s="31">
        <v>5.0000000000000001E-4</v>
      </c>
      <c r="J44" s="31">
        <v>5.0000000000000001E-4</v>
      </c>
      <c r="K44" s="31">
        <v>5.0000000000000001E-4</v>
      </c>
      <c r="L44" s="31">
        <v>5.0000000000000001E-4</v>
      </c>
    </row>
    <row r="45" spans="2:12" x14ac:dyDescent="0.2">
      <c r="B45" s="5" t="s">
        <v>87</v>
      </c>
      <c r="C45" s="14">
        <f>'Annual Model'!C106</f>
        <v>0</v>
      </c>
      <c r="D45" s="14">
        <f>'Annual Model'!D106</f>
        <v>0</v>
      </c>
      <c r="E45" s="14">
        <f>'Annual Model'!E106</f>
        <v>0</v>
      </c>
      <c r="F45" s="14">
        <f>'Annual Model'!F106</f>
        <v>491</v>
      </c>
      <c r="G45" s="14">
        <f>'Annual Model'!G106</f>
        <v>100</v>
      </c>
      <c r="H45" s="32">
        <v>0</v>
      </c>
      <c r="I45" s="32">
        <v>0</v>
      </c>
      <c r="J45" s="32">
        <v>0</v>
      </c>
      <c r="K45" s="32">
        <v>0</v>
      </c>
      <c r="L45" s="32">
        <v>0</v>
      </c>
    </row>
    <row r="46" spans="2:12" x14ac:dyDescent="0.2">
      <c r="B46" s="5" t="s">
        <v>88</v>
      </c>
      <c r="C46" s="14">
        <f>'Annual Model'!C107</f>
        <v>0</v>
      </c>
      <c r="D46" s="14">
        <f>'Annual Model'!D107</f>
        <v>-25</v>
      </c>
      <c r="E46" s="14">
        <f>'Annual Model'!E107</f>
        <v>-134</v>
      </c>
      <c r="F46" s="14">
        <f>'Annual Model'!F107</f>
        <v>-1</v>
      </c>
      <c r="G46" s="14">
        <f>'Annual Model'!G107</f>
        <v>-27</v>
      </c>
      <c r="H46" s="13">
        <v>-10</v>
      </c>
      <c r="I46" s="13">
        <v>-10</v>
      </c>
      <c r="J46" s="13">
        <v>-10</v>
      </c>
      <c r="K46" s="13">
        <v>-10</v>
      </c>
      <c r="L46" s="13">
        <v>-10</v>
      </c>
    </row>
    <row r="48" spans="2:12" x14ac:dyDescent="0.2">
      <c r="B48" s="5" t="s">
        <v>128</v>
      </c>
      <c r="C48" s="17">
        <f>'Annual Model'!C114/'Annual Model'!C23</f>
        <v>2.7563653352020556E-2</v>
      </c>
      <c r="D48" s="17">
        <f>'Annual Model'!D114/'Annual Model'!D23</f>
        <v>2.6049700085689804E-2</v>
      </c>
      <c r="E48" s="17">
        <f>'Annual Model'!E114/'Annual Model'!E23</f>
        <v>1.5636105188343994E-2</v>
      </c>
      <c r="F48" s="17">
        <f>'Annual Model'!F114/'Annual Model'!F23</f>
        <v>2.345813267049868E-2</v>
      </c>
      <c r="G48" s="17">
        <f>'Annual Model'!G114/'Annual Model'!G23</f>
        <v>1.8250064716541548E-2</v>
      </c>
      <c r="H48" s="17">
        <v>2.1499999999999998E-2</v>
      </c>
      <c r="I48" s="17">
        <v>2.1499999999999998E-2</v>
      </c>
      <c r="J48" s="17">
        <v>2.1499999999999998E-2</v>
      </c>
      <c r="K48" s="17">
        <v>2.1499999999999998E-2</v>
      </c>
      <c r="L48" s="17">
        <v>2.1499999999999998E-2</v>
      </c>
    </row>
    <row r="49" spans="2:13" x14ac:dyDescent="0.2">
      <c r="B49" s="5" t="s">
        <v>95</v>
      </c>
      <c r="C49" s="14">
        <f>'Annual Model'!C115</f>
        <v>-1618</v>
      </c>
      <c r="D49" s="14">
        <f>'Annual Model'!D115</f>
        <v>-1704</v>
      </c>
      <c r="E49" s="14">
        <f>'Annual Model'!E115</f>
        <v>-1984</v>
      </c>
      <c r="F49" s="14">
        <f>'Annual Model'!F115</f>
        <v>-2370</v>
      </c>
      <c r="G49" s="14">
        <f>'Annual Model'!G115</f>
        <v>-2531</v>
      </c>
      <c r="H49" s="14">
        <f>-H50*'Annual Model'!H28</f>
        <v>-2524.235449735449</v>
      </c>
      <c r="I49" s="14">
        <f>-I50*'Annual Model'!I28</f>
        <v>-2635.1908541194252</v>
      </c>
      <c r="J49" s="14">
        <f>-J50*'Annual Model'!J28</f>
        <v>-2706.868045351473</v>
      </c>
      <c r="K49" s="14">
        <f>-K50*'Annual Model'!K28</f>
        <v>-2797.4342846258496</v>
      </c>
      <c r="L49" s="14">
        <f>-L50*'Annual Model'!L28</f>
        <v>-2856.3276379863937</v>
      </c>
    </row>
    <row r="50" spans="2:13" x14ac:dyDescent="0.2">
      <c r="B50" s="23" t="s">
        <v>129</v>
      </c>
      <c r="C50" s="19">
        <f>-C49/'Annual Model'!C28</f>
        <v>2.0749404344779259</v>
      </c>
      <c r="D50" s="19">
        <f>-D49/'Annual Model'!D28</f>
        <v>2.2690796915167093</v>
      </c>
      <c r="E50" s="19">
        <f>-E49/'Annual Model'!E28</f>
        <v>2.8366358682776593</v>
      </c>
      <c r="F50" s="19">
        <f>-F49/'Annual Model'!F28</f>
        <v>3.7554761534876491</v>
      </c>
      <c r="G50" s="19">
        <f>-G49/'Annual Model'!G28</f>
        <v>4.3340836137716803</v>
      </c>
      <c r="H50" s="18">
        <v>4.55</v>
      </c>
      <c r="I50" s="18">
        <v>5</v>
      </c>
      <c r="J50" s="18">
        <v>5.35</v>
      </c>
      <c r="K50" s="18">
        <v>5.7</v>
      </c>
      <c r="L50" s="18">
        <v>6</v>
      </c>
    </row>
    <row r="51" spans="2:13" x14ac:dyDescent="0.2">
      <c r="B51" s="23" t="s">
        <v>130</v>
      </c>
      <c r="D51" s="17">
        <f>D50/C50-1</f>
        <v>9.356377359701451E-2</v>
      </c>
      <c r="E51" s="17">
        <f t="shared" ref="E51:G51" si="11">E50/D50-1</f>
        <v>0.25012615417732698</v>
      </c>
      <c r="F51" s="17">
        <f t="shared" si="11"/>
        <v>0.32391901106710907</v>
      </c>
      <c r="G51" s="17">
        <f t="shared" si="11"/>
        <v>0.15407033266519021</v>
      </c>
      <c r="H51" s="17">
        <f t="shared" ref="H51" si="12">H50/G50-1</f>
        <v>4.9818232749880176E-2</v>
      </c>
      <c r="I51" s="17">
        <f t="shared" ref="I51" si="13">I50/H50-1</f>
        <v>9.8901098901098994E-2</v>
      </c>
      <c r="J51" s="17">
        <f t="shared" ref="J51" si="14">J50/I50-1</f>
        <v>6.999999999999984E-2</v>
      </c>
      <c r="K51" s="17">
        <f t="shared" ref="K51" si="15">K50/J50-1</f>
        <v>6.542056074766367E-2</v>
      </c>
      <c r="L51" s="17">
        <f t="shared" ref="L51" si="16">L50/K50-1</f>
        <v>5.2631578947368363E-2</v>
      </c>
    </row>
    <row r="52" spans="2:13" x14ac:dyDescent="0.2">
      <c r="B52" s="5" t="s">
        <v>96</v>
      </c>
      <c r="C52" s="14">
        <f>'Annual Model'!C116</f>
        <v>-4313</v>
      </c>
      <c r="D52" s="14">
        <f>'Annual Model'!D116</f>
        <v>-4971</v>
      </c>
      <c r="E52" s="14">
        <f>'Annual Model'!E116</f>
        <v>-13012</v>
      </c>
      <c r="F52" s="14">
        <f>'Annual Model'!F116</f>
        <v>-14124</v>
      </c>
      <c r="G52" s="14">
        <f>'Annual Model'!G116</f>
        <v>-6138</v>
      </c>
      <c r="H52" s="13">
        <v>-5000</v>
      </c>
      <c r="I52" s="13">
        <v>-5000</v>
      </c>
      <c r="J52" s="13">
        <v>-5000</v>
      </c>
      <c r="K52" s="13">
        <v>-5000</v>
      </c>
      <c r="L52" s="13">
        <v>-5000</v>
      </c>
    </row>
    <row r="53" spans="2:13" x14ac:dyDescent="0.2">
      <c r="B53" s="5" t="s">
        <v>131</v>
      </c>
      <c r="C53" s="33">
        <f>'Annual Model'!C117/'Annual Model'!C11</f>
        <v>-1.3860398070632588E-5</v>
      </c>
      <c r="D53" s="33">
        <f>'Annual Model'!D117/'Annual Model'!D11</f>
        <v>-4.2412134334854964E-4</v>
      </c>
      <c r="E53" s="33">
        <f>'Annual Model'!E117/'Annual Model'!E11</f>
        <v>-6.2337662337662333E-5</v>
      </c>
      <c r="F53" s="33">
        <f>'Annual Model'!F117/'Annual Model'!F11</f>
        <v>-5.1515057851409966E-5</v>
      </c>
      <c r="G53" s="33">
        <f>'Annual Model'!G117/'Annual Model'!G11</f>
        <v>-2.431202750732255E-4</v>
      </c>
      <c r="H53" s="34">
        <v>-8.0000000000000007E-5</v>
      </c>
      <c r="I53" s="34">
        <v>-8.0000000000000007E-5</v>
      </c>
      <c r="J53" s="34">
        <v>-8.0000000000000007E-5</v>
      </c>
      <c r="K53" s="34">
        <v>-8.0000000000000007E-5</v>
      </c>
      <c r="L53" s="34">
        <v>-8.0000000000000007E-5</v>
      </c>
    </row>
    <row r="55" spans="2:13" x14ac:dyDescent="0.2">
      <c r="B55" s="25" t="s">
        <v>98</v>
      </c>
      <c r="C55" s="14">
        <f>'Annual Model'!C120</f>
        <v>1</v>
      </c>
      <c r="D55" s="14">
        <f>'Annual Model'!D120</f>
        <v>10</v>
      </c>
      <c r="E55" s="14">
        <f>'Annual Model'!E120</f>
        <v>-8</v>
      </c>
      <c r="F55" s="14">
        <f>'Annual Model'!F120</f>
        <v>-16</v>
      </c>
      <c r="G55" s="14">
        <f>'Annual Model'!G120</f>
        <v>0</v>
      </c>
      <c r="H55" s="32">
        <v>0</v>
      </c>
      <c r="I55" s="32">
        <v>0</v>
      </c>
      <c r="J55" s="32">
        <v>0</v>
      </c>
      <c r="K55" s="32">
        <v>0</v>
      </c>
      <c r="L55" s="32">
        <v>0</v>
      </c>
    </row>
    <row r="56" spans="2:13" x14ac:dyDescent="0.2">
      <c r="B56" s="25" t="s">
        <v>109</v>
      </c>
      <c r="C56" s="14">
        <f>'Annual Model'!C123</f>
        <v>12</v>
      </c>
      <c r="D56" s="14">
        <f>'Annual Model'!D123</f>
        <v>0</v>
      </c>
      <c r="E56" s="14">
        <f>'Annual Model'!E123</f>
        <v>0</v>
      </c>
      <c r="F56" s="14">
        <f>'Annual Model'!F123</f>
        <v>0</v>
      </c>
      <c r="G56" s="14">
        <f>'Annual Model'!G123</f>
        <v>0</v>
      </c>
      <c r="H56" s="32">
        <v>0</v>
      </c>
      <c r="I56" s="32">
        <v>0</v>
      </c>
      <c r="J56" s="32">
        <v>0</v>
      </c>
      <c r="K56" s="32">
        <v>0</v>
      </c>
      <c r="L56" s="32">
        <v>0</v>
      </c>
      <c r="M56" s="3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DFAAB-9BCF-48C8-88AA-6BA46465A19D}">
  <dimension ref="B1:N267"/>
  <sheetViews>
    <sheetView showGridLines="0" zoomScale="108" zoomScaleNormal="108" zoomScaleSheetLayoutView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M135" sqref="M135"/>
    </sheetView>
  </sheetViews>
  <sheetFormatPr defaultColWidth="9.140625" defaultRowHeight="12" x14ac:dyDescent="0.2"/>
  <cols>
    <col min="1" max="1" width="1.85546875" style="5" customWidth="1"/>
    <col min="2" max="2" width="68.28515625" style="5" customWidth="1"/>
    <col min="3" max="16384" width="9.140625" style="5"/>
  </cols>
  <sheetData>
    <row r="1" spans="2:12" ht="20.25" x14ac:dyDescent="0.3">
      <c r="B1" s="7" t="s">
        <v>10</v>
      </c>
    </row>
    <row r="2" spans="2:12" x14ac:dyDescent="0.2">
      <c r="B2" s="6" t="s">
        <v>11</v>
      </c>
    </row>
    <row r="6" spans="2:12" x14ac:dyDescent="0.2">
      <c r="B6" s="1" t="s">
        <v>0</v>
      </c>
      <c r="C6" s="2">
        <v>43861</v>
      </c>
      <c r="D6" s="2">
        <v>44225</v>
      </c>
      <c r="E6" s="2">
        <v>44589</v>
      </c>
      <c r="F6" s="2">
        <v>44960</v>
      </c>
      <c r="G6" s="2">
        <v>45324</v>
      </c>
      <c r="H6" s="3"/>
      <c r="I6" s="3"/>
      <c r="J6" s="3"/>
      <c r="K6" s="3"/>
    </row>
    <row r="7" spans="2:12" x14ac:dyDescent="0.2">
      <c r="B7" s="1" t="s">
        <v>1</v>
      </c>
      <c r="C7" s="4" t="s">
        <v>2</v>
      </c>
      <c r="D7" s="4" t="s">
        <v>3</v>
      </c>
      <c r="E7" s="4" t="s">
        <v>4</v>
      </c>
      <c r="F7" s="4" t="s">
        <v>5</v>
      </c>
      <c r="G7" s="4" t="s">
        <v>104</v>
      </c>
      <c r="H7" s="4" t="s">
        <v>6</v>
      </c>
      <c r="I7" s="4" t="s">
        <v>7</v>
      </c>
      <c r="J7" s="4" t="s">
        <v>8</v>
      </c>
      <c r="K7" s="4" t="s">
        <v>9</v>
      </c>
      <c r="L7" s="4" t="s">
        <v>102</v>
      </c>
    </row>
    <row r="10" spans="2:12" x14ac:dyDescent="0.2">
      <c r="B10" s="8" t="s">
        <v>12</v>
      </c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2:12" x14ac:dyDescent="0.2">
      <c r="B11" s="9" t="s">
        <v>20</v>
      </c>
      <c r="C11" s="10">
        <v>72148</v>
      </c>
      <c r="D11" s="10">
        <v>89597</v>
      </c>
      <c r="E11" s="10">
        <v>96250</v>
      </c>
      <c r="F11" s="10">
        <v>97059</v>
      </c>
      <c r="G11" s="10">
        <v>86377</v>
      </c>
      <c r="H11" s="11">
        <f>G11*(1+Assumptions!H11)</f>
        <v>84001.632500000007</v>
      </c>
      <c r="I11" s="11">
        <f>H11*(1+Assumptions!I11)</f>
        <v>85261.656987499999</v>
      </c>
      <c r="J11" s="11">
        <f>I11*(1+Assumptions!J11)</f>
        <v>88075.291668087491</v>
      </c>
      <c r="K11" s="11">
        <f>J11*(1+Assumptions!K11)</f>
        <v>91598.303334810989</v>
      </c>
      <c r="L11" s="11">
        <f>K11*(1+Assumptions!L11)</f>
        <v>95262.235468203435</v>
      </c>
    </row>
    <row r="12" spans="2:12" x14ac:dyDescent="0.2">
      <c r="B12" s="12" t="s">
        <v>21</v>
      </c>
      <c r="C12" s="13">
        <v>49205</v>
      </c>
      <c r="D12" s="13">
        <v>60025</v>
      </c>
      <c r="E12" s="13">
        <v>64194</v>
      </c>
      <c r="F12" s="13">
        <v>64802</v>
      </c>
      <c r="G12" s="13">
        <v>57533</v>
      </c>
      <c r="H12" s="14">
        <f>H11*Assumptions!H12</f>
        <v>55777.08398000001</v>
      </c>
      <c r="I12" s="14">
        <f>I11*Assumptions!I12</f>
        <v>56571.109411206249</v>
      </c>
      <c r="J12" s="14">
        <f>J11*Assumptions!J12</f>
        <v>58393.918375942012</v>
      </c>
      <c r="K12" s="14">
        <f>K11*Assumptions!K12</f>
        <v>60683.875959312281</v>
      </c>
      <c r="L12" s="14">
        <f>L11*Assumptions!L12</f>
        <v>63111.230997684776</v>
      </c>
    </row>
    <row r="13" spans="2:12" x14ac:dyDescent="0.2">
      <c r="B13" s="9" t="s">
        <v>13</v>
      </c>
      <c r="C13" s="11">
        <f>C11-C12</f>
        <v>22943</v>
      </c>
      <c r="D13" s="11">
        <f>D11-D12</f>
        <v>29572</v>
      </c>
      <c r="E13" s="11">
        <f>E11-E12</f>
        <v>32056</v>
      </c>
      <c r="F13" s="11">
        <f>F11-F12</f>
        <v>32257</v>
      </c>
      <c r="G13" s="11">
        <f>G11-G12</f>
        <v>28844</v>
      </c>
      <c r="H13" s="11">
        <f t="shared" ref="H13:L13" si="0">H11-H12</f>
        <v>28224.548519999997</v>
      </c>
      <c r="I13" s="11">
        <f t="shared" si="0"/>
        <v>28690.547576293749</v>
      </c>
      <c r="J13" s="11">
        <f t="shared" si="0"/>
        <v>29681.373292145479</v>
      </c>
      <c r="K13" s="11">
        <f t="shared" si="0"/>
        <v>30914.427375498708</v>
      </c>
      <c r="L13" s="11">
        <f t="shared" si="0"/>
        <v>32151.004470518659</v>
      </c>
    </row>
    <row r="14" spans="2:12" x14ac:dyDescent="0.2">
      <c r="B14" s="25" t="s">
        <v>14</v>
      </c>
      <c r="C14" s="13"/>
      <c r="D14" s="13"/>
      <c r="E14" s="13"/>
      <c r="F14" s="13"/>
    </row>
    <row r="15" spans="2:12" x14ac:dyDescent="0.2">
      <c r="B15" s="12" t="s">
        <v>22</v>
      </c>
      <c r="C15" s="13">
        <v>15367</v>
      </c>
      <c r="D15" s="13">
        <v>18526</v>
      </c>
      <c r="E15" s="13">
        <v>18301</v>
      </c>
      <c r="F15" s="13">
        <v>20332</v>
      </c>
      <c r="G15" s="13">
        <v>15570</v>
      </c>
      <c r="H15" s="14">
        <f>H11*Assumptions!H13</f>
        <v>16800.326500000003</v>
      </c>
      <c r="I15" s="14">
        <f>I11*Assumptions!I13</f>
        <v>17052.331397500002</v>
      </c>
      <c r="J15" s="14">
        <f>J11*Assumptions!J13</f>
        <v>17615.0583336175</v>
      </c>
      <c r="K15" s="14">
        <f>K11*Assumptions!K13</f>
        <v>18319.660666962198</v>
      </c>
      <c r="L15" s="14">
        <f>L11*Assumptions!L13</f>
        <v>19052.447093640687</v>
      </c>
    </row>
    <row r="16" spans="2:12" x14ac:dyDescent="0.2">
      <c r="B16" s="12" t="s">
        <v>23</v>
      </c>
      <c r="C16" s="13">
        <v>1262</v>
      </c>
      <c r="D16" s="13">
        <v>1399</v>
      </c>
      <c r="E16" s="13">
        <v>1662</v>
      </c>
      <c r="F16" s="13">
        <v>1766</v>
      </c>
      <c r="G16" s="13">
        <v>1717</v>
      </c>
      <c r="H16" s="14">
        <f>H149</f>
        <v>1683.7797163681817</v>
      </c>
      <c r="I16" s="14">
        <f t="shared" ref="I16:L16" si="1">I149</f>
        <v>1758.8099745171817</v>
      </c>
      <c r="J16" s="14">
        <f t="shared" si="1"/>
        <v>1829.2702078516518</v>
      </c>
      <c r="K16" s="14">
        <f t="shared" si="1"/>
        <v>1902.5488505195005</v>
      </c>
      <c r="L16" s="14">
        <f t="shared" si="1"/>
        <v>1978.7586388940633</v>
      </c>
    </row>
    <row r="17" spans="2:12" x14ac:dyDescent="0.2">
      <c r="B17" s="9" t="s">
        <v>15</v>
      </c>
      <c r="C17" s="11">
        <f>C13-C15-C16</f>
        <v>6314</v>
      </c>
      <c r="D17" s="11">
        <f>D13-D15-D16</f>
        <v>9647</v>
      </c>
      <c r="E17" s="11">
        <f>E13-E15-E16</f>
        <v>12093</v>
      </c>
      <c r="F17" s="11">
        <f>F13-F15-F16</f>
        <v>10159</v>
      </c>
      <c r="G17" s="11">
        <f>G13-G15-G16</f>
        <v>11557</v>
      </c>
      <c r="H17" s="11">
        <f t="shared" ref="H17:L17" si="2">H13-H15-H16</f>
        <v>9740.4423036318112</v>
      </c>
      <c r="I17" s="11">
        <f t="shared" si="2"/>
        <v>9879.4062042765654</v>
      </c>
      <c r="J17" s="11">
        <f t="shared" si="2"/>
        <v>10237.044750676327</v>
      </c>
      <c r="K17" s="11">
        <f t="shared" si="2"/>
        <v>10692.217858017009</v>
      </c>
      <c r="L17" s="11">
        <f t="shared" si="2"/>
        <v>11119.798737983909</v>
      </c>
    </row>
    <row r="18" spans="2:12" x14ac:dyDescent="0.2">
      <c r="B18" s="12" t="s">
        <v>24</v>
      </c>
      <c r="C18" s="13">
        <v>691</v>
      </c>
      <c r="D18" s="13">
        <v>848</v>
      </c>
      <c r="E18" s="13">
        <v>885</v>
      </c>
      <c r="F18" s="13">
        <v>1123</v>
      </c>
      <c r="G18" s="13">
        <v>1382</v>
      </c>
      <c r="H18" s="14">
        <f>Assumptions!H20</f>
        <v>1361.27</v>
      </c>
      <c r="I18" s="14">
        <f>Assumptions!I20</f>
        <v>1317.0287250000001</v>
      </c>
      <c r="J18" s="14">
        <f>Assumptions!J20</f>
        <v>1277.5178632500001</v>
      </c>
      <c r="K18" s="14">
        <f>Assumptions!K20</f>
        <v>1245.57991666875</v>
      </c>
      <c r="L18" s="14">
        <f>Assumptions!L20</f>
        <v>1214.4404187520313</v>
      </c>
    </row>
    <row r="19" spans="2:12" x14ac:dyDescent="0.2">
      <c r="B19" s="12" t="s">
        <v>103</v>
      </c>
      <c r="C19" s="13">
        <v>0</v>
      </c>
      <c r="D19" s="13">
        <v>1060</v>
      </c>
      <c r="E19" s="13">
        <v>0</v>
      </c>
      <c r="F19" s="13">
        <v>0</v>
      </c>
      <c r="G19" s="13">
        <v>0</v>
      </c>
      <c r="H19" s="40">
        <f>Assumptions!H14</f>
        <v>0</v>
      </c>
      <c r="I19" s="40">
        <f>Assumptions!I14</f>
        <v>0</v>
      </c>
      <c r="J19" s="40">
        <f>Assumptions!J14</f>
        <v>0</v>
      </c>
      <c r="K19" s="40">
        <f>Assumptions!K14</f>
        <v>0</v>
      </c>
      <c r="L19" s="40">
        <f>Assumptions!L14</f>
        <v>0</v>
      </c>
    </row>
    <row r="20" spans="2:12" x14ac:dyDescent="0.2">
      <c r="B20" s="9" t="s">
        <v>25</v>
      </c>
      <c r="C20" s="11">
        <f>C17-C18-C19</f>
        <v>5623</v>
      </c>
      <c r="D20" s="11">
        <f>D17-D18-D19</f>
        <v>7739</v>
      </c>
      <c r="E20" s="11">
        <f>E17-E18-E19</f>
        <v>11208</v>
      </c>
      <c r="F20" s="11">
        <f>F17-F18-F19</f>
        <v>9036</v>
      </c>
      <c r="G20" s="11">
        <f>G17-G18-G19</f>
        <v>10175</v>
      </c>
      <c r="H20" s="11">
        <f t="shared" ref="H20:L20" si="3">H17-H18-H19</f>
        <v>8379.1723036318108</v>
      </c>
      <c r="I20" s="11">
        <f t="shared" si="3"/>
        <v>8562.3774792765653</v>
      </c>
      <c r="J20" s="11">
        <f t="shared" si="3"/>
        <v>8959.5268874263274</v>
      </c>
      <c r="K20" s="11">
        <f t="shared" si="3"/>
        <v>9446.6379413482591</v>
      </c>
      <c r="L20" s="11">
        <f t="shared" si="3"/>
        <v>9905.3583192318765</v>
      </c>
    </row>
    <row r="21" spans="2:12" x14ac:dyDescent="0.2">
      <c r="B21" s="12" t="s">
        <v>26</v>
      </c>
      <c r="C21" s="13">
        <v>1342</v>
      </c>
      <c r="D21" s="13">
        <v>1904</v>
      </c>
      <c r="E21" s="13">
        <v>2766</v>
      </c>
      <c r="F21" s="13">
        <v>2599</v>
      </c>
      <c r="G21" s="13">
        <v>2449</v>
      </c>
      <c r="H21" s="14">
        <f>H20*H22</f>
        <v>2111.2036714347473</v>
      </c>
      <c r="I21" s="14">
        <f t="shared" ref="I21:L21" si="4">I20*I22</f>
        <v>2157.363772388801</v>
      </c>
      <c r="J21" s="14">
        <f t="shared" si="4"/>
        <v>2257.4289409055641</v>
      </c>
      <c r="K21" s="14">
        <f t="shared" si="4"/>
        <v>2380.1607106044275</v>
      </c>
      <c r="L21" s="14">
        <f t="shared" si="4"/>
        <v>2495.7392082001943</v>
      </c>
    </row>
    <row r="22" spans="2:12" x14ac:dyDescent="0.2">
      <c r="B22" s="23" t="s">
        <v>16</v>
      </c>
      <c r="C22" s="26">
        <f>C21/C20</f>
        <v>0.23866263560377024</v>
      </c>
      <c r="D22" s="26">
        <f>D21/D20</f>
        <v>0.24602661842615325</v>
      </c>
      <c r="E22" s="26">
        <f>E21/E20</f>
        <v>0.2467880085653105</v>
      </c>
      <c r="F22" s="26">
        <f>F21/F20</f>
        <v>0.2876272687029659</v>
      </c>
      <c r="G22" s="26">
        <f>G21/G20</f>
        <v>0.24068796068796069</v>
      </c>
      <c r="H22" s="16">
        <f>Assumptions!H15</f>
        <v>0.25195849839723211</v>
      </c>
      <c r="I22" s="16">
        <f>Assumptions!I15</f>
        <v>0.25195849839723211</v>
      </c>
      <c r="J22" s="16">
        <f>Assumptions!J15</f>
        <v>0.25195849839723211</v>
      </c>
      <c r="K22" s="16">
        <f>Assumptions!K15</f>
        <v>0.25195849839723211</v>
      </c>
      <c r="L22" s="16">
        <f>Assumptions!L15</f>
        <v>0.25195849839723211</v>
      </c>
    </row>
    <row r="23" spans="2:12" x14ac:dyDescent="0.2">
      <c r="B23" s="9" t="s">
        <v>27</v>
      </c>
      <c r="C23" s="11">
        <f>C20-C21</f>
        <v>4281</v>
      </c>
      <c r="D23" s="11">
        <f>D20-D21</f>
        <v>5835</v>
      </c>
      <c r="E23" s="11">
        <f>E20-E21</f>
        <v>8442</v>
      </c>
      <c r="F23" s="11">
        <f>F20-F21</f>
        <v>6437</v>
      </c>
      <c r="G23" s="11">
        <f>G20-G21</f>
        <v>7726</v>
      </c>
      <c r="H23" s="11">
        <f t="shared" ref="H23:L23" si="5">H20-H21</f>
        <v>6267.9686321970639</v>
      </c>
      <c r="I23" s="11">
        <f>I20-I21</f>
        <v>6405.0137068877648</v>
      </c>
      <c r="J23" s="11">
        <f t="shared" si="5"/>
        <v>6702.0979465207638</v>
      </c>
      <c r="K23" s="11">
        <f t="shared" si="5"/>
        <v>7066.4772307438316</v>
      </c>
      <c r="L23" s="11">
        <f t="shared" si="5"/>
        <v>7409.6191110316822</v>
      </c>
    </row>
    <row r="24" spans="2:12" x14ac:dyDescent="0.2">
      <c r="B24" s="25" t="s">
        <v>28</v>
      </c>
      <c r="C24" s="13"/>
      <c r="D24" s="13"/>
      <c r="E24" s="13"/>
      <c r="F24" s="13"/>
    </row>
    <row r="25" spans="2:12" x14ac:dyDescent="0.2">
      <c r="B25" s="12" t="s">
        <v>29</v>
      </c>
      <c r="C25" s="18">
        <v>5.49</v>
      </c>
      <c r="D25" s="18">
        <v>7.77</v>
      </c>
      <c r="E25" s="18">
        <v>12.07</v>
      </c>
      <c r="F25" s="18">
        <v>10.199999999999999</v>
      </c>
      <c r="G25" s="18">
        <v>13.23</v>
      </c>
      <c r="H25" s="19">
        <f>H23/H28</f>
        <v>11.29817635652236</v>
      </c>
      <c r="I25" s="19">
        <f t="shared" ref="I25:L25" si="6">I23/I28</f>
        <v>12.152845963462603</v>
      </c>
      <c r="J25" s="19">
        <f t="shared" si="6"/>
        <v>13.246387859748936</v>
      </c>
      <c r="K25" s="19">
        <f t="shared" si="6"/>
        <v>14.398522401975585</v>
      </c>
      <c r="L25" s="19">
        <f t="shared" si="6"/>
        <v>15.564641140934082</v>
      </c>
    </row>
    <row r="26" spans="2:12" x14ac:dyDescent="0.2">
      <c r="B26" s="12" t="s">
        <v>30</v>
      </c>
      <c r="C26" s="18">
        <v>5.49</v>
      </c>
      <c r="D26" s="18">
        <v>7.75</v>
      </c>
      <c r="E26" s="18">
        <v>12.04</v>
      </c>
      <c r="F26" s="18">
        <v>10.17</v>
      </c>
      <c r="G26" s="18">
        <v>13.2</v>
      </c>
      <c r="H26" s="19">
        <f>H23/H29</f>
        <v>11.272556909001898</v>
      </c>
      <c r="I26" s="19">
        <f t="shared" ref="I26:L26" si="7">I23/I29</f>
        <v>12.125288489622548</v>
      </c>
      <c r="J26" s="19">
        <f t="shared" si="7"/>
        <v>13.216350699069229</v>
      </c>
      <c r="K26" s="19">
        <f t="shared" si="7"/>
        <v>14.365872691313504</v>
      </c>
      <c r="L26" s="19">
        <f t="shared" si="7"/>
        <v>15.529347170092956</v>
      </c>
    </row>
    <row r="27" spans="2:12" x14ac:dyDescent="0.2">
      <c r="B27" s="25" t="s">
        <v>17</v>
      </c>
      <c r="C27" s="13"/>
      <c r="D27" s="13"/>
      <c r="E27" s="13"/>
      <c r="F27" s="13"/>
    </row>
    <row r="28" spans="2:12" x14ac:dyDescent="0.2">
      <c r="B28" s="12" t="s">
        <v>18</v>
      </c>
      <c r="C28" s="14">
        <f>C23/C25</f>
        <v>779.78142076502729</v>
      </c>
      <c r="D28" s="14">
        <f t="shared" ref="D28:G28" si="8">D23/D25</f>
        <v>750.96525096525102</v>
      </c>
      <c r="E28" s="14">
        <f t="shared" si="8"/>
        <v>699.42004971002484</v>
      </c>
      <c r="F28" s="14">
        <f t="shared" si="8"/>
        <v>631.07843137254906</v>
      </c>
      <c r="G28" s="14">
        <f t="shared" si="8"/>
        <v>583.97581254724105</v>
      </c>
      <c r="H28" s="14">
        <f>Assumptions!H16</f>
        <v>554.77702191987896</v>
      </c>
      <c r="I28" s="14">
        <f>Assumptions!I16</f>
        <v>527.03817082388503</v>
      </c>
      <c r="J28" s="14">
        <f>Assumptions!J16</f>
        <v>505.95664399092959</v>
      </c>
      <c r="K28" s="14">
        <f>Assumptions!K16</f>
        <v>490.77794467120168</v>
      </c>
      <c r="L28" s="14">
        <f>Assumptions!L16</f>
        <v>476.0546063310656</v>
      </c>
    </row>
    <row r="29" spans="2:12" x14ac:dyDescent="0.2">
      <c r="B29" s="12" t="s">
        <v>19</v>
      </c>
      <c r="C29" s="14">
        <f>C23/C26</f>
        <v>779.78142076502729</v>
      </c>
      <c r="D29" s="14">
        <f t="shared" ref="D29:G29" si="9">D23/D26</f>
        <v>752.90322580645159</v>
      </c>
      <c r="E29" s="14">
        <f t="shared" si="9"/>
        <v>701.1627906976745</v>
      </c>
      <c r="F29" s="14">
        <f t="shared" si="9"/>
        <v>632.94001966568339</v>
      </c>
      <c r="G29" s="14">
        <f t="shared" si="9"/>
        <v>585.30303030303037</v>
      </c>
      <c r="H29" s="14">
        <f>Assumptions!H18</f>
        <v>556.03787878787887</v>
      </c>
      <c r="I29" s="14">
        <f>Assumptions!I18</f>
        <v>528.23598484848492</v>
      </c>
      <c r="J29" s="14">
        <f>Assumptions!J18</f>
        <v>507.10654545454548</v>
      </c>
      <c r="K29" s="14">
        <f>Assumptions!K18</f>
        <v>491.89334909090911</v>
      </c>
      <c r="L29" s="14">
        <f>Assumptions!L18</f>
        <v>477.13654861818185</v>
      </c>
    </row>
    <row r="30" spans="2:12" x14ac:dyDescent="0.2">
      <c r="B30" s="12"/>
      <c r="C30" s="14"/>
      <c r="D30" s="14"/>
      <c r="E30" s="14"/>
      <c r="F30" s="14"/>
      <c r="G30" s="14"/>
      <c r="H30" s="14"/>
      <c r="I30" s="14"/>
      <c r="J30" s="14"/>
      <c r="K30" s="14"/>
      <c r="L30" s="14"/>
    </row>
    <row r="31" spans="2:12" x14ac:dyDescent="0.2">
      <c r="B31" s="9" t="s">
        <v>189</v>
      </c>
      <c r="C31" s="11">
        <f>C17+C83</f>
        <v>7724</v>
      </c>
      <c r="D31" s="11">
        <f t="shared" ref="D31:L31" si="10">D17+D83</f>
        <v>11241</v>
      </c>
      <c r="E31" s="11">
        <f t="shared" si="10"/>
        <v>13975</v>
      </c>
      <c r="F31" s="11">
        <f t="shared" si="10"/>
        <v>12140</v>
      </c>
      <c r="G31" s="11">
        <f t="shared" si="10"/>
        <v>13480</v>
      </c>
      <c r="H31" s="11">
        <f t="shared" si="10"/>
        <v>11424.222019999994</v>
      </c>
      <c r="I31" s="11">
        <f t="shared" si="10"/>
        <v>11638.216178793748</v>
      </c>
      <c r="J31" s="11">
        <f>J17+J83</f>
        <v>12066.314958527979</v>
      </c>
      <c r="K31" s="11">
        <f t="shared" si="10"/>
        <v>12594.76670853651</v>
      </c>
      <c r="L31" s="11">
        <f t="shared" si="10"/>
        <v>13098.557376877972</v>
      </c>
    </row>
    <row r="33" spans="2:14" x14ac:dyDescent="0.2">
      <c r="B33" s="8" t="s">
        <v>31</v>
      </c>
      <c r="C33" s="8"/>
      <c r="D33" s="8"/>
      <c r="E33" s="8"/>
      <c r="F33" s="8"/>
      <c r="G33" s="8"/>
      <c r="H33" s="8"/>
      <c r="I33" s="8"/>
      <c r="J33" s="8"/>
      <c r="K33" s="8"/>
      <c r="L33" s="8"/>
    </row>
    <row r="34" spans="2:14" x14ac:dyDescent="0.2">
      <c r="B34" s="9" t="s">
        <v>32</v>
      </c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2:14" x14ac:dyDescent="0.2">
      <c r="B35" s="12" t="s">
        <v>33</v>
      </c>
      <c r="C35" s="13">
        <v>716</v>
      </c>
      <c r="D35" s="13">
        <v>4690</v>
      </c>
      <c r="E35" s="13">
        <v>1133</v>
      </c>
      <c r="F35" s="13">
        <v>1348</v>
      </c>
      <c r="G35" s="13">
        <v>921</v>
      </c>
      <c r="H35" s="14">
        <f>G35+H122+H123</f>
        <v>1011.0883518232877</v>
      </c>
      <c r="I35" s="14">
        <f t="shared" ref="I35:L35" si="11">H35+I122+I123</f>
        <v>600.3864914777505</v>
      </c>
      <c r="J35" s="14">
        <f t="shared" si="11"/>
        <v>539.78755029818603</v>
      </c>
      <c r="K35" s="14">
        <f t="shared" si="11"/>
        <v>743.63569823978105</v>
      </c>
      <c r="L35" s="14">
        <f t="shared" si="11"/>
        <v>1240.7039258829454</v>
      </c>
    </row>
    <row r="36" spans="2:14" x14ac:dyDescent="0.2">
      <c r="B36" s="12" t="s">
        <v>34</v>
      </c>
      <c r="C36" s="13">
        <v>160</v>
      </c>
      <c r="D36" s="13">
        <v>506</v>
      </c>
      <c r="E36" s="13">
        <v>271</v>
      </c>
      <c r="F36" s="13">
        <v>384</v>
      </c>
      <c r="G36" s="13">
        <v>307</v>
      </c>
      <c r="H36" s="14">
        <f>G36</f>
        <v>307</v>
      </c>
      <c r="I36" s="14">
        <f t="shared" ref="I36:L36" si="12">H36</f>
        <v>307</v>
      </c>
      <c r="J36" s="14">
        <f t="shared" si="12"/>
        <v>307</v>
      </c>
      <c r="K36" s="14">
        <f t="shared" si="12"/>
        <v>307</v>
      </c>
      <c r="L36" s="14">
        <f t="shared" si="12"/>
        <v>307</v>
      </c>
    </row>
    <row r="37" spans="2:14" x14ac:dyDescent="0.2">
      <c r="B37" s="12" t="s">
        <v>35</v>
      </c>
      <c r="C37" s="13">
        <v>13179</v>
      </c>
      <c r="D37" s="13">
        <v>16193</v>
      </c>
      <c r="E37" s="13">
        <v>17605</v>
      </c>
      <c r="F37" s="13">
        <v>18532</v>
      </c>
      <c r="G37" s="13">
        <v>16894</v>
      </c>
      <c r="H37" s="14">
        <f>G37-H92</f>
        <v>17172.396512223248</v>
      </c>
      <c r="I37" s="14">
        <f t="shared" ref="I37:L37" si="13">H37-I92</f>
        <v>17420.801911834475</v>
      </c>
      <c r="J37" s="14">
        <f t="shared" si="13"/>
        <v>17982.127193029817</v>
      </c>
      <c r="K37" s="14">
        <f t="shared" si="13"/>
        <v>18687.308651580002</v>
      </c>
      <c r="L37" s="14">
        <f t="shared" si="13"/>
        <v>19434.800997643204</v>
      </c>
      <c r="N37" s="14"/>
    </row>
    <row r="38" spans="2:14" x14ac:dyDescent="0.2">
      <c r="B38" s="12" t="s">
        <v>36</v>
      </c>
      <c r="C38" s="13">
        <v>1263</v>
      </c>
      <c r="D38" s="13">
        <v>937</v>
      </c>
      <c r="E38" s="13">
        <v>1051</v>
      </c>
      <c r="F38" s="13">
        <v>1178</v>
      </c>
      <c r="G38" s="13">
        <v>949</v>
      </c>
      <c r="H38" s="14">
        <f>G38-H93</f>
        <v>1034.2537500000001</v>
      </c>
      <c r="I38" s="14">
        <f t="shared" ref="I38:L38" si="14">H38-I93</f>
        <v>1051.1711135445205</v>
      </c>
      <c r="J38" s="14">
        <f t="shared" si="14"/>
        <v>1085.8597602914897</v>
      </c>
      <c r="K38" s="14">
        <f t="shared" si="14"/>
        <v>1129.2941507031492</v>
      </c>
      <c r="L38" s="14">
        <f t="shared" si="14"/>
        <v>1174.4659167312752</v>
      </c>
    </row>
    <row r="39" spans="2:14" x14ac:dyDescent="0.2">
      <c r="B39" s="20" t="s">
        <v>37</v>
      </c>
      <c r="C39" s="11">
        <f t="shared" ref="C39:H39" si="15">SUM(C35:C38)</f>
        <v>15318</v>
      </c>
      <c r="D39" s="11">
        <f t="shared" si="15"/>
        <v>22326</v>
      </c>
      <c r="E39" s="11">
        <f t="shared" si="15"/>
        <v>20060</v>
      </c>
      <c r="F39" s="11">
        <f t="shared" si="15"/>
        <v>21442</v>
      </c>
      <c r="G39" s="11">
        <f t="shared" si="15"/>
        <v>19071</v>
      </c>
      <c r="H39" s="11">
        <f t="shared" si="15"/>
        <v>19524.738614046535</v>
      </c>
      <c r="I39" s="11">
        <f t="shared" ref="I39" si="16">SUM(I35:I38)</f>
        <v>19379.359516856748</v>
      </c>
      <c r="J39" s="11">
        <f t="shared" ref="J39" si="17">SUM(J35:J38)</f>
        <v>19914.77450361949</v>
      </c>
      <c r="K39" s="11">
        <f t="shared" ref="K39" si="18">SUM(K35:K38)</f>
        <v>20867.238500522933</v>
      </c>
      <c r="L39" s="11">
        <f t="shared" ref="L39" si="19">SUM(L35:L38)</f>
        <v>22156.970840257425</v>
      </c>
    </row>
    <row r="40" spans="2:14" x14ac:dyDescent="0.2">
      <c r="B40" s="12" t="s">
        <v>38</v>
      </c>
      <c r="C40" s="13">
        <v>18769</v>
      </c>
      <c r="D40" s="13">
        <v>19155</v>
      </c>
      <c r="E40" s="13">
        <v>19071</v>
      </c>
      <c r="F40" s="13">
        <v>17567</v>
      </c>
      <c r="G40" s="13">
        <v>17653</v>
      </c>
      <c r="H40" s="14">
        <f>G40-H83-H104-H105-H106</f>
        <v>17901.257831131818</v>
      </c>
      <c r="I40" s="14">
        <f t="shared" ref="I40:L40" si="20">H40-I83-I104-I105-I106</f>
        <v>17975.573481845884</v>
      </c>
      <c r="J40" s="14">
        <f t="shared" si="20"/>
        <v>17863.771461521937</v>
      </c>
      <c r="K40" s="14">
        <f t="shared" si="20"/>
        <v>17747.389526031253</v>
      </c>
      <c r="L40" s="14">
        <f t="shared" si="20"/>
        <v>17626.244478767156</v>
      </c>
    </row>
    <row r="41" spans="2:14" x14ac:dyDescent="0.2">
      <c r="B41" s="12" t="s">
        <v>39</v>
      </c>
      <c r="C41" s="13">
        <v>3891</v>
      </c>
      <c r="D41" s="13">
        <v>3832</v>
      </c>
      <c r="E41" s="13">
        <v>4108</v>
      </c>
      <c r="F41" s="13">
        <v>3518</v>
      </c>
      <c r="G41" s="13">
        <v>3733</v>
      </c>
      <c r="H41" s="14">
        <f>G41</f>
        <v>3733</v>
      </c>
      <c r="I41" s="14">
        <f t="shared" ref="I41:L41" si="21">H41</f>
        <v>3733</v>
      </c>
      <c r="J41" s="14">
        <f t="shared" si="21"/>
        <v>3733</v>
      </c>
      <c r="K41" s="14">
        <f t="shared" si="21"/>
        <v>3733</v>
      </c>
      <c r="L41" s="14">
        <f t="shared" si="21"/>
        <v>3733</v>
      </c>
    </row>
    <row r="42" spans="2:14" x14ac:dyDescent="0.2">
      <c r="B42" s="12" t="s">
        <v>40</v>
      </c>
      <c r="C42" s="13">
        <v>372</v>
      </c>
      <c r="D42" s="13">
        <v>200</v>
      </c>
      <c r="E42" s="13">
        <v>199</v>
      </c>
      <c r="F42" s="13">
        <v>121</v>
      </c>
      <c r="G42" s="13">
        <v>252</v>
      </c>
      <c r="H42" s="14">
        <f>G42-H102-H103</f>
        <v>269.73168147009892</v>
      </c>
      <c r="I42" s="14">
        <f t="shared" ref="I42:L42" si="22">H42-I102-I103</f>
        <v>287.72933816224941</v>
      </c>
      <c r="J42" s="14">
        <f t="shared" si="22"/>
        <v>306.32091752524047</v>
      </c>
      <c r="K42" s="14">
        <f t="shared" si="22"/>
        <v>325.65616006275172</v>
      </c>
      <c r="L42" s="14">
        <f t="shared" si="22"/>
        <v>345.76481230176296</v>
      </c>
    </row>
    <row r="43" spans="2:14" x14ac:dyDescent="0.2">
      <c r="B43" s="12" t="s">
        <v>41</v>
      </c>
      <c r="C43" s="13">
        <v>216</v>
      </c>
      <c r="D43" s="13">
        <v>340</v>
      </c>
      <c r="E43" s="13">
        <v>164</v>
      </c>
      <c r="F43" s="13">
        <v>250</v>
      </c>
      <c r="G43" s="13">
        <v>248</v>
      </c>
      <c r="H43" s="14">
        <f>G43-H85</f>
        <v>239.5376864827542</v>
      </c>
      <c r="I43" s="14">
        <f t="shared" ref="I43:L43" si="23">H43-I85</f>
        <v>189.8345093084954</v>
      </c>
      <c r="J43" s="14">
        <f t="shared" si="23"/>
        <v>162.74948309936747</v>
      </c>
      <c r="K43" s="14">
        <f t="shared" si="23"/>
        <v>156.95156459522497</v>
      </c>
      <c r="L43" s="14">
        <f t="shared" si="23"/>
        <v>171.15072177643643</v>
      </c>
    </row>
    <row r="44" spans="2:14" x14ac:dyDescent="0.2">
      <c r="B44" s="12" t="s">
        <v>42</v>
      </c>
      <c r="C44" s="13">
        <v>905</v>
      </c>
      <c r="D44" s="13">
        <v>882</v>
      </c>
      <c r="E44" s="13">
        <v>1038</v>
      </c>
      <c r="F44" s="13">
        <v>810</v>
      </c>
      <c r="G44" s="13">
        <v>838</v>
      </c>
      <c r="H44" s="14">
        <f>G44-H107</f>
        <v>848</v>
      </c>
      <c r="I44" s="14">
        <f t="shared" ref="I44:L44" si="24">H44-I107</f>
        <v>858</v>
      </c>
      <c r="J44" s="14">
        <f t="shared" si="24"/>
        <v>868</v>
      </c>
      <c r="K44" s="14">
        <f t="shared" si="24"/>
        <v>878</v>
      </c>
      <c r="L44" s="14">
        <f t="shared" si="24"/>
        <v>888</v>
      </c>
    </row>
    <row r="45" spans="2:14" x14ac:dyDescent="0.2">
      <c r="B45" s="20" t="s">
        <v>43</v>
      </c>
      <c r="C45" s="11">
        <f>SUM(C40:C44)</f>
        <v>24153</v>
      </c>
      <c r="D45" s="11">
        <f>SUM(D40:D44)</f>
        <v>24409</v>
      </c>
      <c r="E45" s="11">
        <f>SUM(E40:E44)</f>
        <v>24580</v>
      </c>
      <c r="F45" s="11">
        <f>SUM(F40:F44)</f>
        <v>22266</v>
      </c>
      <c r="G45" s="11">
        <f>SUM(G40:G44)</f>
        <v>22724</v>
      </c>
      <c r="H45" s="11">
        <f t="shared" ref="H45:L45" si="25">SUM(H40:H44)</f>
        <v>22991.527199084674</v>
      </c>
      <c r="I45" s="11">
        <f t="shared" si="25"/>
        <v>23044.137329316625</v>
      </c>
      <c r="J45" s="11">
        <f t="shared" si="25"/>
        <v>22933.841862146546</v>
      </c>
      <c r="K45" s="11">
        <f t="shared" si="25"/>
        <v>22840.997250689226</v>
      </c>
      <c r="L45" s="11">
        <f t="shared" si="25"/>
        <v>22764.160012845357</v>
      </c>
    </row>
    <row r="46" spans="2:14" x14ac:dyDescent="0.2">
      <c r="B46" s="21" t="s">
        <v>44</v>
      </c>
      <c r="C46" s="22">
        <f>C39+C45</f>
        <v>39471</v>
      </c>
      <c r="D46" s="22">
        <f>D39+D45</f>
        <v>46735</v>
      </c>
      <c r="E46" s="22">
        <f>E39+E45</f>
        <v>44640</v>
      </c>
      <c r="F46" s="22">
        <f>F39+F45</f>
        <v>43708</v>
      </c>
      <c r="G46" s="22">
        <f>G39+G45</f>
        <v>41795</v>
      </c>
      <c r="H46" s="22">
        <f t="shared" ref="H46:L46" si="26">H39+H45</f>
        <v>42516.265813131206</v>
      </c>
      <c r="I46" s="22">
        <f t="shared" si="26"/>
        <v>42423.496846173373</v>
      </c>
      <c r="J46" s="22">
        <f t="shared" si="26"/>
        <v>42848.616365766036</v>
      </c>
      <c r="K46" s="22">
        <f t="shared" si="26"/>
        <v>43708.23575121216</v>
      </c>
      <c r="L46" s="22">
        <f t="shared" si="26"/>
        <v>44921.130853102783</v>
      </c>
    </row>
    <row r="47" spans="2:14" x14ac:dyDescent="0.2">
      <c r="B47" s="12"/>
      <c r="C47" s="13"/>
      <c r="D47" s="13"/>
      <c r="E47" s="13"/>
      <c r="F47" s="13"/>
    </row>
    <row r="48" spans="2:14" x14ac:dyDescent="0.2">
      <c r="B48" s="9" t="s">
        <v>45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2:12" x14ac:dyDescent="0.2">
      <c r="B49" s="12" t="s">
        <v>46</v>
      </c>
      <c r="C49" s="13">
        <v>1941</v>
      </c>
      <c r="D49" s="13">
        <v>0</v>
      </c>
      <c r="E49" s="13">
        <v>0</v>
      </c>
      <c r="F49" s="13">
        <v>499</v>
      </c>
      <c r="G49" s="13">
        <v>0</v>
      </c>
      <c r="H49" s="14">
        <f>G49+H111</f>
        <v>0</v>
      </c>
      <c r="I49" s="14">
        <f t="shared" ref="I49:L49" si="27">H49+I111</f>
        <v>0</v>
      </c>
      <c r="J49" s="14">
        <f t="shared" si="27"/>
        <v>0</v>
      </c>
      <c r="K49" s="14">
        <f t="shared" si="27"/>
        <v>0</v>
      </c>
      <c r="L49" s="14">
        <f t="shared" si="27"/>
        <v>0</v>
      </c>
    </row>
    <row r="50" spans="2:12" x14ac:dyDescent="0.2">
      <c r="B50" s="12" t="s">
        <v>47</v>
      </c>
      <c r="C50" s="13">
        <v>597</v>
      </c>
      <c r="D50" s="13">
        <v>1112</v>
      </c>
      <c r="E50" s="13">
        <v>868</v>
      </c>
      <c r="F50" s="13">
        <v>585</v>
      </c>
      <c r="G50" s="13">
        <v>537</v>
      </c>
      <c r="H50" s="14">
        <f>G50</f>
        <v>537</v>
      </c>
      <c r="I50" s="14">
        <f t="shared" ref="I50:L50" si="28">H50</f>
        <v>537</v>
      </c>
      <c r="J50" s="14">
        <f t="shared" si="28"/>
        <v>537</v>
      </c>
      <c r="K50" s="14">
        <f t="shared" si="28"/>
        <v>537</v>
      </c>
      <c r="L50" s="14">
        <f t="shared" si="28"/>
        <v>537</v>
      </c>
    </row>
    <row r="51" spans="2:12" x14ac:dyDescent="0.2">
      <c r="B51" s="12" t="s">
        <v>48</v>
      </c>
      <c r="C51" s="13">
        <v>501</v>
      </c>
      <c r="D51" s="13">
        <v>541</v>
      </c>
      <c r="E51" s="13">
        <v>636</v>
      </c>
      <c r="F51" s="13">
        <v>522</v>
      </c>
      <c r="G51" s="13">
        <v>487</v>
      </c>
      <c r="H51" s="14">
        <f>G51+H84</f>
        <v>964.83241610220114</v>
      </c>
      <c r="I51" s="14">
        <f t="shared" ref="I51:L51" si="29">H51+I84</f>
        <v>1449.8323184459352</v>
      </c>
      <c r="J51" s="14">
        <f t="shared" si="29"/>
        <v>1950.8372175670124</v>
      </c>
      <c r="K51" s="14">
        <f t="shared" si="29"/>
        <v>2471.8823126529328</v>
      </c>
      <c r="L51" s="14">
        <f t="shared" si="29"/>
        <v>3013.7692115422901</v>
      </c>
    </row>
    <row r="52" spans="2:12" x14ac:dyDescent="0.2">
      <c r="B52" s="12" t="s">
        <v>49</v>
      </c>
      <c r="C52" s="13">
        <v>7659</v>
      </c>
      <c r="D52" s="13">
        <v>10884</v>
      </c>
      <c r="E52" s="13">
        <v>11354</v>
      </c>
      <c r="F52" s="13">
        <v>10524</v>
      </c>
      <c r="G52" s="13">
        <v>8704</v>
      </c>
      <c r="H52" s="14">
        <f>G52+H94</f>
        <v>9320.5792394577038</v>
      </c>
      <c r="I52" s="14">
        <f t="shared" ref="I52:L52" si="30">H52+I94</f>
        <v>9454.3497920098125</v>
      </c>
      <c r="J52" s="14">
        <f t="shared" si="30"/>
        <v>9758.9836189930484</v>
      </c>
      <c r="K52" s="14">
        <f t="shared" si="30"/>
        <v>10141.688858953559</v>
      </c>
      <c r="L52" s="14">
        <f t="shared" si="30"/>
        <v>10547.356413311703</v>
      </c>
    </row>
    <row r="53" spans="2:12" x14ac:dyDescent="0.2">
      <c r="B53" s="12" t="s">
        <v>50</v>
      </c>
      <c r="C53" s="13">
        <v>684</v>
      </c>
      <c r="D53" s="13">
        <v>1350</v>
      </c>
      <c r="E53" s="13">
        <v>1561</v>
      </c>
      <c r="F53" s="13">
        <v>1109</v>
      </c>
      <c r="G53" s="13">
        <v>954</v>
      </c>
      <c r="H53" s="14">
        <f>G53</f>
        <v>954</v>
      </c>
      <c r="I53" s="14">
        <f t="shared" ref="I53:L53" si="31">H53</f>
        <v>954</v>
      </c>
      <c r="J53" s="14">
        <f t="shared" si="31"/>
        <v>954</v>
      </c>
      <c r="K53" s="14">
        <f t="shared" si="31"/>
        <v>954</v>
      </c>
      <c r="L53" s="14">
        <f t="shared" si="31"/>
        <v>954</v>
      </c>
    </row>
    <row r="54" spans="2:12" x14ac:dyDescent="0.2">
      <c r="B54" s="12" t="s">
        <v>51</v>
      </c>
      <c r="C54" s="13">
        <v>1219</v>
      </c>
      <c r="D54" s="13">
        <v>1608</v>
      </c>
      <c r="E54" s="13">
        <v>1914</v>
      </c>
      <c r="F54" s="13">
        <v>1603</v>
      </c>
      <c r="G54" s="13">
        <v>1408</v>
      </c>
      <c r="H54" s="14">
        <f>G54+H95</f>
        <v>1464.0987500000001</v>
      </c>
      <c r="I54" s="14">
        <f t="shared" ref="I54:L54" si="32">H54+I95</f>
        <v>1494.9989170410961</v>
      </c>
      <c r="J54" s="14">
        <f t="shared" si="32"/>
        <v>1544.333881303452</v>
      </c>
      <c r="K54" s="14">
        <f t="shared" si="32"/>
        <v>1606.1072365555901</v>
      </c>
      <c r="L54" s="14">
        <f t="shared" si="32"/>
        <v>1670.351526017814</v>
      </c>
    </row>
    <row r="55" spans="2:12" x14ac:dyDescent="0.2">
      <c r="B55" s="12" t="s">
        <v>52</v>
      </c>
      <c r="C55" s="13">
        <v>0</v>
      </c>
      <c r="D55" s="13">
        <v>0</v>
      </c>
      <c r="E55" s="13">
        <v>128</v>
      </c>
      <c r="F55" s="13">
        <v>1181</v>
      </c>
      <c r="G55" s="13">
        <v>33</v>
      </c>
      <c r="H55" s="14">
        <f>G55+H97</f>
        <v>523.27506270350818</v>
      </c>
      <c r="I55" s="14">
        <f t="shared" ref="I55:L55" si="33">H55+I97</f>
        <v>534.9080038388671</v>
      </c>
      <c r="J55" s="14">
        <f t="shared" si="33"/>
        <v>559.71868260809197</v>
      </c>
      <c r="K55" s="14">
        <f t="shared" si="33"/>
        <v>590.14943646493339</v>
      </c>
      <c r="L55" s="14">
        <f t="shared" si="33"/>
        <v>618.80657080032222</v>
      </c>
    </row>
    <row r="56" spans="2:12" x14ac:dyDescent="0.2">
      <c r="B56" s="12" t="s">
        <v>53</v>
      </c>
      <c r="C56" s="13">
        <v>2581</v>
      </c>
      <c r="D56" s="13">
        <v>3235</v>
      </c>
      <c r="E56" s="13">
        <v>3207</v>
      </c>
      <c r="F56" s="13">
        <v>3488</v>
      </c>
      <c r="G56" s="13">
        <v>3445</v>
      </c>
      <c r="H56" s="14">
        <f>G56+H96</f>
        <v>3360.7018861639417</v>
      </c>
      <c r="I56" s="14">
        <f t="shared" ref="I56:L56" si="34">H56+I96</f>
        <v>3409.765498757637</v>
      </c>
      <c r="J56" s="14">
        <f t="shared" si="34"/>
        <v>3519.6334363581486</v>
      </c>
      <c r="K56" s="14">
        <f t="shared" si="34"/>
        <v>3657.6582769996444</v>
      </c>
      <c r="L56" s="14">
        <f t="shared" si="34"/>
        <v>3803.9646080796306</v>
      </c>
    </row>
    <row r="57" spans="2:12" x14ac:dyDescent="0.2">
      <c r="B57" s="20" t="s">
        <v>54</v>
      </c>
      <c r="C57" s="11">
        <f>SUM(C49:C56)</f>
        <v>15182</v>
      </c>
      <c r="D57" s="11">
        <f>SUM(D49:D56)</f>
        <v>18730</v>
      </c>
      <c r="E57" s="11">
        <f>SUM(E49:E56)</f>
        <v>19668</v>
      </c>
      <c r="F57" s="11">
        <f>SUM(F49:F56)</f>
        <v>19511</v>
      </c>
      <c r="G57" s="11">
        <f>SUM(G49:G56)</f>
        <v>15568</v>
      </c>
      <c r="H57" s="11">
        <f t="shared" ref="H57:L57" si="35">SUM(H49:H56)</f>
        <v>17124.487354427354</v>
      </c>
      <c r="I57" s="11">
        <f t="shared" si="35"/>
        <v>17834.854530093347</v>
      </c>
      <c r="J57" s="11">
        <f t="shared" si="35"/>
        <v>18824.506836829754</v>
      </c>
      <c r="K57" s="11">
        <f t="shared" si="35"/>
        <v>19958.486121626662</v>
      </c>
      <c r="L57" s="11">
        <f t="shared" si="35"/>
        <v>21145.248329751761</v>
      </c>
    </row>
    <row r="58" spans="2:12" x14ac:dyDescent="0.2">
      <c r="B58" s="12" t="s">
        <v>55</v>
      </c>
      <c r="C58" s="13">
        <v>16768</v>
      </c>
      <c r="D58" s="13">
        <v>20668</v>
      </c>
      <c r="E58" s="13">
        <v>23859</v>
      </c>
      <c r="F58" s="13">
        <v>32876</v>
      </c>
      <c r="G58" s="13">
        <v>35384</v>
      </c>
      <c r="H58" s="14">
        <f>G58+H112+H113</f>
        <v>35384</v>
      </c>
      <c r="I58" s="14">
        <f t="shared" ref="I58:L58" si="36">H58+I112+I113</f>
        <v>35384</v>
      </c>
      <c r="J58" s="14">
        <f t="shared" si="36"/>
        <v>35384</v>
      </c>
      <c r="K58" s="14">
        <f t="shared" si="36"/>
        <v>35384</v>
      </c>
      <c r="L58" s="14">
        <f t="shared" si="36"/>
        <v>35384</v>
      </c>
    </row>
    <row r="59" spans="2:12" x14ac:dyDescent="0.2">
      <c r="B59" s="12" t="s">
        <v>56</v>
      </c>
      <c r="C59" s="13">
        <v>3943</v>
      </c>
      <c r="D59" s="13">
        <v>3890</v>
      </c>
      <c r="E59" s="13">
        <v>4021</v>
      </c>
      <c r="F59" s="13">
        <v>3512</v>
      </c>
      <c r="G59" s="13">
        <v>3737</v>
      </c>
      <c r="H59" s="14">
        <f>G59</f>
        <v>3737</v>
      </c>
      <c r="I59" s="14">
        <f t="shared" ref="I59:L59" si="37">H59</f>
        <v>3737</v>
      </c>
      <c r="J59" s="14">
        <f t="shared" si="37"/>
        <v>3737</v>
      </c>
      <c r="K59" s="14">
        <f t="shared" si="37"/>
        <v>3737</v>
      </c>
      <c r="L59" s="14">
        <f t="shared" si="37"/>
        <v>3737</v>
      </c>
    </row>
    <row r="60" spans="2:12" x14ac:dyDescent="0.2">
      <c r="B60" s="12" t="s">
        <v>57</v>
      </c>
      <c r="C60" s="13">
        <v>894</v>
      </c>
      <c r="D60" s="13">
        <v>1019</v>
      </c>
      <c r="E60" s="13">
        <v>1127</v>
      </c>
      <c r="F60" s="13">
        <v>1201</v>
      </c>
      <c r="G60" s="13">
        <v>1225</v>
      </c>
      <c r="H60" s="14">
        <f>G60</f>
        <v>1225</v>
      </c>
      <c r="I60" s="14">
        <f t="shared" ref="I60:L60" si="38">H60</f>
        <v>1225</v>
      </c>
      <c r="J60" s="14">
        <f t="shared" si="38"/>
        <v>1225</v>
      </c>
      <c r="K60" s="14">
        <f t="shared" si="38"/>
        <v>1225</v>
      </c>
      <c r="L60" s="14">
        <f t="shared" si="38"/>
        <v>1225</v>
      </c>
    </row>
    <row r="61" spans="2:12" x14ac:dyDescent="0.2">
      <c r="B61" s="12" t="s">
        <v>58</v>
      </c>
      <c r="C61" s="13">
        <v>712</v>
      </c>
      <c r="D61" s="13">
        <v>991</v>
      </c>
      <c r="E61" s="13">
        <v>781</v>
      </c>
      <c r="F61" s="13">
        <v>862</v>
      </c>
      <c r="G61" s="13">
        <v>931</v>
      </c>
      <c r="H61" s="14">
        <f>G61</f>
        <v>931</v>
      </c>
      <c r="I61" s="14">
        <f t="shared" ref="I61:L61" si="39">H61</f>
        <v>931</v>
      </c>
      <c r="J61" s="14">
        <f t="shared" si="39"/>
        <v>931</v>
      </c>
      <c r="K61" s="14">
        <f t="shared" si="39"/>
        <v>931</v>
      </c>
      <c r="L61" s="14">
        <f t="shared" si="39"/>
        <v>931</v>
      </c>
    </row>
    <row r="62" spans="2:12" x14ac:dyDescent="0.2">
      <c r="B62" s="20" t="s">
        <v>59</v>
      </c>
      <c r="C62" s="11">
        <f>SUM(C58:C61)</f>
        <v>22317</v>
      </c>
      <c r="D62" s="11">
        <f>SUM(D58:D61)</f>
        <v>26568</v>
      </c>
      <c r="E62" s="11">
        <f>SUM(E58:E61)</f>
        <v>29788</v>
      </c>
      <c r="F62" s="11">
        <f>SUM(F58:F61)</f>
        <v>38451</v>
      </c>
      <c r="G62" s="11">
        <f>SUM(G58:G61)</f>
        <v>41277</v>
      </c>
      <c r="H62" s="11">
        <f t="shared" ref="H62:L62" si="40">SUM(H58:H61)</f>
        <v>41277</v>
      </c>
      <c r="I62" s="11">
        <f t="shared" si="40"/>
        <v>41277</v>
      </c>
      <c r="J62" s="11">
        <f t="shared" si="40"/>
        <v>41277</v>
      </c>
      <c r="K62" s="11">
        <f t="shared" si="40"/>
        <v>41277</v>
      </c>
      <c r="L62" s="11">
        <f t="shared" si="40"/>
        <v>41277</v>
      </c>
    </row>
    <row r="63" spans="2:12" x14ac:dyDescent="0.2">
      <c r="B63" s="21" t="s">
        <v>60</v>
      </c>
      <c r="C63" s="22">
        <f>C57+C62</f>
        <v>37499</v>
      </c>
      <c r="D63" s="22">
        <f>D57+D62</f>
        <v>45298</v>
      </c>
      <c r="E63" s="22">
        <f>E57+E62</f>
        <v>49456</v>
      </c>
      <c r="F63" s="22">
        <f>F57+F62</f>
        <v>57962</v>
      </c>
      <c r="G63" s="22">
        <f>G57+G62</f>
        <v>56845</v>
      </c>
      <c r="H63" s="22">
        <f t="shared" ref="H63:L63" si="41">H57+H62</f>
        <v>58401.487354427358</v>
      </c>
      <c r="I63" s="22">
        <f t="shared" si="41"/>
        <v>59111.854530093347</v>
      </c>
      <c r="J63" s="22">
        <f t="shared" si="41"/>
        <v>60101.506836829751</v>
      </c>
      <c r="K63" s="22">
        <f t="shared" si="41"/>
        <v>61235.486121626658</v>
      </c>
      <c r="L63" s="22">
        <f t="shared" si="41"/>
        <v>62422.248329751761</v>
      </c>
    </row>
    <row r="64" spans="2:12" x14ac:dyDescent="0.2">
      <c r="B64" s="12"/>
    </row>
    <row r="66" spans="2:12" x14ac:dyDescent="0.2">
      <c r="B66" s="9" t="s">
        <v>61</v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2:12" x14ac:dyDescent="0.2">
      <c r="B67" s="12" t="s">
        <v>62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4">
        <f>G67</f>
        <v>0</v>
      </c>
      <c r="I67" s="14">
        <f t="shared" ref="I67:L67" si="42">H67</f>
        <v>0</v>
      </c>
      <c r="J67" s="14">
        <f t="shared" si="42"/>
        <v>0</v>
      </c>
      <c r="K67" s="14">
        <f t="shared" si="42"/>
        <v>0</v>
      </c>
      <c r="L67" s="14">
        <f t="shared" si="42"/>
        <v>0</v>
      </c>
    </row>
    <row r="68" spans="2:12" x14ac:dyDescent="0.2">
      <c r="B68" s="12" t="s">
        <v>63</v>
      </c>
      <c r="C68" s="13">
        <v>381</v>
      </c>
      <c r="D68" s="13">
        <v>366</v>
      </c>
      <c r="E68" s="13">
        <v>335</v>
      </c>
      <c r="F68" s="13">
        <v>301</v>
      </c>
      <c r="G68" s="13">
        <v>287</v>
      </c>
      <c r="H68" s="14">
        <f>G68+H114</f>
        <v>421.76132559223686</v>
      </c>
      <c r="I68" s="14">
        <f t="shared" ref="I68:L68" si="43">H68+I114</f>
        <v>559.46912029032376</v>
      </c>
      <c r="J68" s="14">
        <f t="shared" si="43"/>
        <v>703.56422614052019</v>
      </c>
      <c r="K68" s="14">
        <f t="shared" si="43"/>
        <v>855.49348660151259</v>
      </c>
      <c r="L68" s="14">
        <f t="shared" si="43"/>
        <v>1014.8002974886938</v>
      </c>
    </row>
    <row r="69" spans="2:12" x14ac:dyDescent="0.2">
      <c r="B69" s="12" t="s">
        <v>105</v>
      </c>
      <c r="C69" s="13">
        <v>0</v>
      </c>
      <c r="D69" s="13">
        <v>90</v>
      </c>
      <c r="E69" s="13">
        <v>0</v>
      </c>
      <c r="F69" s="13">
        <v>0</v>
      </c>
      <c r="G69" s="13">
        <v>0</v>
      </c>
      <c r="H69" s="14">
        <f>G69</f>
        <v>0</v>
      </c>
      <c r="I69" s="14">
        <f t="shared" ref="I69:L69" si="44">H69</f>
        <v>0</v>
      </c>
      <c r="J69" s="14">
        <f t="shared" si="44"/>
        <v>0</v>
      </c>
      <c r="K69" s="14">
        <f t="shared" si="44"/>
        <v>0</v>
      </c>
      <c r="L69" s="14">
        <f t="shared" si="44"/>
        <v>0</v>
      </c>
    </row>
    <row r="70" spans="2:12" x14ac:dyDescent="0.2">
      <c r="B70" s="12" t="s">
        <v>106</v>
      </c>
      <c r="C70" s="13">
        <v>1727</v>
      </c>
      <c r="D70" s="13">
        <v>1117</v>
      </c>
      <c r="E70" s="13">
        <v>0</v>
      </c>
      <c r="F70" s="13">
        <v>0</v>
      </c>
      <c r="G70" s="13">
        <v>0</v>
      </c>
      <c r="H70" s="14">
        <f>G70+H82+H115+H116</f>
        <v>-1256.2668175383851</v>
      </c>
      <c r="I70" s="14">
        <f t="shared" ref="I70:L70" si="45">H70+I82+I115+I116</f>
        <v>-2486.4439647700456</v>
      </c>
      <c r="J70" s="14">
        <f t="shared" si="45"/>
        <v>-3491.2140636007548</v>
      </c>
      <c r="K70" s="14">
        <f t="shared" si="45"/>
        <v>-4222.1711174827724</v>
      </c>
      <c r="L70" s="14">
        <f t="shared" si="45"/>
        <v>-4668.8796444374839</v>
      </c>
    </row>
    <row r="71" spans="2:12" x14ac:dyDescent="0.2">
      <c r="B71" s="12" t="s">
        <v>107</v>
      </c>
      <c r="C71" s="13">
        <v>-136</v>
      </c>
      <c r="D71" s="13">
        <v>-136</v>
      </c>
      <c r="E71" s="13">
        <v>-36</v>
      </c>
      <c r="F71" s="13">
        <v>307</v>
      </c>
      <c r="G71" s="13">
        <v>300</v>
      </c>
      <c r="H71" s="14">
        <f>G71+H120+H117+H89+H88+H87+H86</f>
        <v>376.2798694</v>
      </c>
      <c r="I71" s="14">
        <f t="shared" ref="I71:L71" si="46">H71+I120+I117+I89+I88+I87+I86</f>
        <v>452.45893684099997</v>
      </c>
      <c r="J71" s="14">
        <f t="shared" si="46"/>
        <v>528.41291350755296</v>
      </c>
      <c r="K71" s="14">
        <f t="shared" si="46"/>
        <v>604.08504924076806</v>
      </c>
      <c r="L71" s="14">
        <f t="shared" si="46"/>
        <v>679.46407040331178</v>
      </c>
    </row>
    <row r="72" spans="2:12" x14ac:dyDescent="0.2">
      <c r="B72" s="12" t="s">
        <v>64</v>
      </c>
      <c r="C72" s="13">
        <v>0</v>
      </c>
      <c r="D72" s="13">
        <v>0</v>
      </c>
      <c r="E72" s="13">
        <v>-5115</v>
      </c>
      <c r="F72" s="13">
        <v>-14862</v>
      </c>
      <c r="G72" s="13">
        <v>-15637</v>
      </c>
      <c r="H72" s="14">
        <f>G72+H90</f>
        <v>-15426.995918750001</v>
      </c>
      <c r="I72" s="14">
        <f t="shared" ref="I72:L72" si="47">H72+I90</f>
        <v>-15213.841776281251</v>
      </c>
      <c r="J72" s="14">
        <f t="shared" si="47"/>
        <v>-14993.653547111033</v>
      </c>
      <c r="K72" s="14">
        <f t="shared" si="47"/>
        <v>-14764.657788774006</v>
      </c>
      <c r="L72" s="14">
        <f t="shared" si="47"/>
        <v>-14526.502200103498</v>
      </c>
    </row>
    <row r="73" spans="2:12" x14ac:dyDescent="0.2">
      <c r="B73" s="20" t="s">
        <v>65</v>
      </c>
      <c r="C73" s="11">
        <f>SUM(C67:C72)</f>
        <v>1972</v>
      </c>
      <c r="D73" s="11">
        <f>SUM(D67:D72)</f>
        <v>1437</v>
      </c>
      <c r="E73" s="11">
        <f>SUM(E67:E72)</f>
        <v>-4816</v>
      </c>
      <c r="F73" s="11">
        <f>SUM(F67:F72)</f>
        <v>-14254</v>
      </c>
      <c r="G73" s="11">
        <f>SUM(G67:G72)</f>
        <v>-15050</v>
      </c>
      <c r="H73" s="11">
        <f t="shared" ref="H73:L73" si="48">SUM(H67:H72)</f>
        <v>-15885.221541296149</v>
      </c>
      <c r="I73" s="11">
        <f t="shared" si="48"/>
        <v>-16688.357683919974</v>
      </c>
      <c r="J73" s="11">
        <f t="shared" si="48"/>
        <v>-17252.890471063714</v>
      </c>
      <c r="K73" s="11">
        <f t="shared" si="48"/>
        <v>-17527.250370414498</v>
      </c>
      <c r="L73" s="11">
        <f t="shared" si="48"/>
        <v>-17501.117476648975</v>
      </c>
    </row>
    <row r="74" spans="2:12" x14ac:dyDescent="0.2">
      <c r="B74" s="21" t="s">
        <v>66</v>
      </c>
      <c r="C74" s="22">
        <f>C63+C73</f>
        <v>39471</v>
      </c>
      <c r="D74" s="22">
        <f>D63+D73</f>
        <v>46735</v>
      </c>
      <c r="E74" s="22">
        <f>E63+E73</f>
        <v>44640</v>
      </c>
      <c r="F74" s="22">
        <f>F63+F73</f>
        <v>43708</v>
      </c>
      <c r="G74" s="22">
        <f>G63+G73</f>
        <v>41795</v>
      </c>
      <c r="H74" s="22">
        <f t="shared" ref="H74:L74" si="49">H63+H73</f>
        <v>42516.265813131206</v>
      </c>
      <c r="I74" s="22">
        <f t="shared" si="49"/>
        <v>42423.496846173373</v>
      </c>
      <c r="J74" s="22">
        <f t="shared" si="49"/>
        <v>42848.616365766036</v>
      </c>
      <c r="K74" s="22">
        <f t="shared" si="49"/>
        <v>43708.23575121216</v>
      </c>
      <c r="L74" s="22">
        <f t="shared" si="49"/>
        <v>44921.13085310279</v>
      </c>
    </row>
    <row r="76" spans="2:12" x14ac:dyDescent="0.2">
      <c r="B76" s="5" t="s">
        <v>67</v>
      </c>
      <c r="C76" s="3" t="str">
        <f>IF(C46=C74, "Y", "N")</f>
        <v>Y</v>
      </c>
      <c r="D76" s="3" t="str">
        <f>IF(D46=D74, "Y", "N")</f>
        <v>Y</v>
      </c>
      <c r="E76" s="3" t="str">
        <f>IF(E46=E74, "Y", "N")</f>
        <v>Y</v>
      </c>
      <c r="F76" s="3" t="str">
        <f>IF(F46=F74, "Y", "N")</f>
        <v>Y</v>
      </c>
      <c r="G76" s="3" t="str">
        <f>IF(G46=G74, "Y", "N")</f>
        <v>Y</v>
      </c>
      <c r="H76" s="3" t="str">
        <f t="shared" ref="H76:L76" si="50">IF(H46=H74, "Y", "N")</f>
        <v>Y</v>
      </c>
      <c r="I76" s="3" t="str">
        <f t="shared" si="50"/>
        <v>Y</v>
      </c>
      <c r="J76" s="3" t="str">
        <f t="shared" si="50"/>
        <v>Y</v>
      </c>
      <c r="K76" s="3" t="str">
        <f t="shared" si="50"/>
        <v>Y</v>
      </c>
      <c r="L76" s="3" t="str">
        <f t="shared" si="50"/>
        <v>Y</v>
      </c>
    </row>
    <row r="77" spans="2:12" x14ac:dyDescent="0.2">
      <c r="C77" s="3"/>
      <c r="D77" s="3"/>
      <c r="E77" s="3"/>
      <c r="F77" s="3"/>
      <c r="G77" s="3"/>
      <c r="H77" s="39"/>
      <c r="I77" s="39"/>
      <c r="J77" s="39"/>
      <c r="K77" s="39"/>
      <c r="L77" s="39"/>
    </row>
    <row r="79" spans="2:12" x14ac:dyDescent="0.2">
      <c r="B79" s="8" t="s">
        <v>68</v>
      </c>
      <c r="C79" s="8"/>
      <c r="D79" s="8"/>
      <c r="E79" s="8"/>
      <c r="F79" s="8"/>
      <c r="G79" s="8"/>
      <c r="H79" s="8"/>
      <c r="I79" s="8"/>
      <c r="J79" s="8"/>
      <c r="K79" s="8"/>
      <c r="L79" s="8"/>
    </row>
    <row r="80" spans="2:12" x14ac:dyDescent="0.2">
      <c r="B80" s="9" t="s">
        <v>69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2:12" x14ac:dyDescent="0.2">
      <c r="B81" s="12" t="s">
        <v>76</v>
      </c>
    </row>
    <row r="82" spans="2:12" x14ac:dyDescent="0.2">
      <c r="B82" s="24" t="s">
        <v>70</v>
      </c>
      <c r="C82" s="13">
        <v>4281</v>
      </c>
      <c r="D82" s="13">
        <v>5835</v>
      </c>
      <c r="E82" s="13">
        <v>8442</v>
      </c>
      <c r="F82" s="13">
        <v>6437</v>
      </c>
      <c r="G82" s="13">
        <v>7726</v>
      </c>
      <c r="H82" s="14">
        <f>H23</f>
        <v>6267.9686321970639</v>
      </c>
      <c r="I82" s="14">
        <f t="shared" ref="I82:L82" si="51">I23</f>
        <v>6405.0137068877648</v>
      </c>
      <c r="J82" s="14">
        <f t="shared" si="51"/>
        <v>6702.0979465207638</v>
      </c>
      <c r="K82" s="14">
        <f t="shared" si="51"/>
        <v>7066.4772307438316</v>
      </c>
      <c r="L82" s="14">
        <f t="shared" si="51"/>
        <v>7409.6191110316822</v>
      </c>
    </row>
    <row r="83" spans="2:12" x14ac:dyDescent="0.2">
      <c r="B83" s="24" t="s">
        <v>23</v>
      </c>
      <c r="C83" s="13">
        <v>1410</v>
      </c>
      <c r="D83" s="13">
        <v>1594</v>
      </c>
      <c r="E83" s="13">
        <v>1882</v>
      </c>
      <c r="F83" s="13">
        <v>1981</v>
      </c>
      <c r="G83" s="13">
        <v>1923</v>
      </c>
      <c r="H83" s="14">
        <f>H149</f>
        <v>1683.7797163681817</v>
      </c>
      <c r="I83" s="14">
        <f t="shared" ref="I83:L83" si="52">I149</f>
        <v>1758.8099745171817</v>
      </c>
      <c r="J83" s="14">
        <f t="shared" si="52"/>
        <v>1829.2702078516518</v>
      </c>
      <c r="K83" s="14">
        <f t="shared" si="52"/>
        <v>1902.5488505195005</v>
      </c>
      <c r="L83" s="14">
        <f t="shared" si="52"/>
        <v>1978.7586388940633</v>
      </c>
    </row>
    <row r="84" spans="2:12" x14ac:dyDescent="0.2">
      <c r="B84" s="24" t="s">
        <v>71</v>
      </c>
      <c r="C84" s="13">
        <v>468</v>
      </c>
      <c r="D84" s="13">
        <v>479</v>
      </c>
      <c r="E84" s="13">
        <v>517</v>
      </c>
      <c r="F84" s="13">
        <v>530</v>
      </c>
      <c r="G84" s="13">
        <v>499</v>
      </c>
      <c r="H84" s="14">
        <f>H11*Assumptions!H34</f>
        <v>477.83241610220114</v>
      </c>
      <c r="I84" s="14">
        <f>I11*Assumptions!I34</f>
        <v>484.99990234373411</v>
      </c>
      <c r="J84" s="14">
        <f>J11*Assumptions!J34</f>
        <v>501.0048991210773</v>
      </c>
      <c r="K84" s="14">
        <f>K11*Assumptions!K34</f>
        <v>521.04509508592037</v>
      </c>
      <c r="L84" s="14">
        <f>L11*Assumptions!L34</f>
        <v>541.88689888935721</v>
      </c>
    </row>
    <row r="85" spans="2:12" x14ac:dyDescent="0.2">
      <c r="B85" s="24" t="s">
        <v>72</v>
      </c>
      <c r="C85" s="13">
        <v>177</v>
      </c>
      <c r="D85" s="13">
        <v>-108</v>
      </c>
      <c r="E85" s="13">
        <v>135</v>
      </c>
      <c r="F85" s="13">
        <v>-239</v>
      </c>
      <c r="G85" s="13">
        <v>6</v>
      </c>
      <c r="H85" s="14">
        <f>H171</f>
        <v>8.462313517245807</v>
      </c>
      <c r="I85" s="14">
        <f t="shared" ref="I85:L85" si="53">I171</f>
        <v>49.703177174258784</v>
      </c>
      <c r="J85" s="14">
        <f t="shared" si="53"/>
        <v>27.085026209127939</v>
      </c>
      <c r="K85" s="14">
        <f t="shared" si="53"/>
        <v>5.797918504142503</v>
      </c>
      <c r="L85" s="14">
        <f t="shared" si="53"/>
        <v>-14.199157181211465</v>
      </c>
    </row>
    <row r="86" spans="2:12" x14ac:dyDescent="0.2">
      <c r="B86" s="24" t="s">
        <v>73</v>
      </c>
      <c r="C86" s="13">
        <v>117</v>
      </c>
      <c r="D86" s="13">
        <v>139</v>
      </c>
      <c r="E86" s="13">
        <v>34</v>
      </c>
      <c r="F86" s="13">
        <v>2118</v>
      </c>
      <c r="G86" s="13">
        <v>83</v>
      </c>
      <c r="H86" s="14">
        <f>Assumptions!H35</f>
        <v>83</v>
      </c>
      <c r="I86" s="14">
        <f>Assumptions!I35</f>
        <v>83</v>
      </c>
      <c r="J86" s="14">
        <f>Assumptions!J35</f>
        <v>83</v>
      </c>
      <c r="K86" s="14">
        <f>Assumptions!K35</f>
        <v>83</v>
      </c>
      <c r="L86" s="14">
        <f>Assumptions!L35</f>
        <v>83</v>
      </c>
    </row>
    <row r="87" spans="2:12" x14ac:dyDescent="0.2">
      <c r="B87" s="24" t="s">
        <v>108</v>
      </c>
      <c r="C87" s="13">
        <v>0</v>
      </c>
      <c r="D87" s="13">
        <v>0</v>
      </c>
      <c r="E87" s="13">
        <v>0</v>
      </c>
      <c r="F87" s="13">
        <v>421</v>
      </c>
      <c r="G87" s="13">
        <v>-79</v>
      </c>
      <c r="H87" s="14">
        <f>Assumptions!H36</f>
        <v>0</v>
      </c>
      <c r="I87" s="14">
        <f>Assumptions!I36</f>
        <v>0</v>
      </c>
      <c r="J87" s="14">
        <f>Assumptions!J36</f>
        <v>0</v>
      </c>
      <c r="K87" s="14">
        <f>Assumptions!K36</f>
        <v>0</v>
      </c>
      <c r="L87" s="14">
        <f>Assumptions!L36</f>
        <v>0</v>
      </c>
    </row>
    <row r="88" spans="2:12" x14ac:dyDescent="0.2">
      <c r="B88" s="24" t="s">
        <v>74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4">
        <f>Assumptions!H37</f>
        <v>0</v>
      </c>
      <c r="I88" s="14">
        <f>Assumptions!I37</f>
        <v>0</v>
      </c>
      <c r="J88" s="14">
        <f>Assumptions!J37</f>
        <v>0</v>
      </c>
      <c r="K88" s="14">
        <f>Assumptions!K37</f>
        <v>0</v>
      </c>
      <c r="L88" s="14">
        <f>Assumptions!L37</f>
        <v>0</v>
      </c>
    </row>
    <row r="89" spans="2:12" x14ac:dyDescent="0.2">
      <c r="B89" s="24" t="s">
        <v>103</v>
      </c>
      <c r="C89" s="13">
        <v>0</v>
      </c>
      <c r="D89" s="13">
        <v>1060</v>
      </c>
      <c r="E89" s="13">
        <v>0</v>
      </c>
      <c r="F89" s="13">
        <v>0</v>
      </c>
      <c r="G89" s="13">
        <v>0</v>
      </c>
      <c r="H89" s="14">
        <f>Assumptions!H38</f>
        <v>0</v>
      </c>
      <c r="I89" s="14">
        <f>Assumptions!I38</f>
        <v>0</v>
      </c>
      <c r="J89" s="14">
        <f>Assumptions!J38</f>
        <v>0</v>
      </c>
      <c r="K89" s="14">
        <f>Assumptions!K38</f>
        <v>0</v>
      </c>
      <c r="L89" s="14">
        <f>Assumptions!L38</f>
        <v>0</v>
      </c>
    </row>
    <row r="90" spans="2:12" x14ac:dyDescent="0.2">
      <c r="B90" s="24" t="s">
        <v>75</v>
      </c>
      <c r="C90" s="13">
        <v>98</v>
      </c>
      <c r="D90" s="13">
        <v>155</v>
      </c>
      <c r="E90" s="13">
        <v>230</v>
      </c>
      <c r="F90" s="13">
        <v>223</v>
      </c>
      <c r="G90" s="13">
        <v>210</v>
      </c>
      <c r="H90" s="14">
        <f>H11*Assumptions!H39</f>
        <v>210.00408125000001</v>
      </c>
      <c r="I90" s="14">
        <f>I11*Assumptions!I39</f>
        <v>213.15414246875</v>
      </c>
      <c r="J90" s="14">
        <f>J11*Assumptions!J39</f>
        <v>220.18822917021873</v>
      </c>
      <c r="K90" s="14">
        <f>K11*Assumptions!K39</f>
        <v>228.99575833702747</v>
      </c>
      <c r="L90" s="14">
        <f>L11*Assumptions!L39</f>
        <v>238.15558867050859</v>
      </c>
    </row>
    <row r="91" spans="2:12" x14ac:dyDescent="0.2">
      <c r="B91" s="12" t="s">
        <v>77</v>
      </c>
      <c r="C91" s="13"/>
      <c r="D91" s="13"/>
      <c r="E91" s="13"/>
      <c r="F91" s="13"/>
      <c r="G91" s="13"/>
    </row>
    <row r="92" spans="2:12" x14ac:dyDescent="0.2">
      <c r="B92" s="24" t="s">
        <v>35</v>
      </c>
      <c r="C92" s="13">
        <v>-600</v>
      </c>
      <c r="D92" s="13">
        <v>-2967</v>
      </c>
      <c r="E92" s="13">
        <v>-1413</v>
      </c>
      <c r="F92" s="13">
        <v>-2594</v>
      </c>
      <c r="G92" s="13">
        <v>1637</v>
      </c>
      <c r="H92" s="14">
        <f>-(H176-G176)</f>
        <v>-278.39651222324756</v>
      </c>
      <c r="I92" s="14">
        <f t="shared" ref="I92:L92" si="54">-(I176-H176)</f>
        <v>-248.40539961122704</v>
      </c>
      <c r="J92" s="14">
        <f t="shared" si="54"/>
        <v>-561.32528119534254</v>
      </c>
      <c r="K92" s="14">
        <f t="shared" si="54"/>
        <v>-705.1814585501852</v>
      </c>
      <c r="L92" s="14">
        <f t="shared" si="54"/>
        <v>-747.49234606320169</v>
      </c>
    </row>
    <row r="93" spans="2:12" x14ac:dyDescent="0.2">
      <c r="B93" s="24" t="s">
        <v>78</v>
      </c>
      <c r="C93" s="13">
        <v>-364</v>
      </c>
      <c r="D93" s="13">
        <v>326</v>
      </c>
      <c r="E93" s="13">
        <v>-23</v>
      </c>
      <c r="F93" s="13">
        <v>56</v>
      </c>
      <c r="G93" s="13">
        <v>182</v>
      </c>
      <c r="H93" s="14">
        <f>-(H178-G178)</f>
        <v>-85.253750000000082</v>
      </c>
      <c r="I93" s="14">
        <f t="shared" ref="I93:L93" si="55">-(I178-H178)</f>
        <v>-16.917363544520413</v>
      </c>
      <c r="J93" s="14">
        <f t="shared" si="55"/>
        <v>-34.688646746969198</v>
      </c>
      <c r="K93" s="14">
        <f t="shared" si="55"/>
        <v>-43.434390411659479</v>
      </c>
      <c r="L93" s="14">
        <f t="shared" si="55"/>
        <v>-45.171766028126058</v>
      </c>
    </row>
    <row r="94" spans="2:12" x14ac:dyDescent="0.2">
      <c r="B94" s="24" t="s">
        <v>49</v>
      </c>
      <c r="C94" s="13">
        <v>-637</v>
      </c>
      <c r="D94" s="13">
        <v>3211</v>
      </c>
      <c r="E94" s="13">
        <v>466</v>
      </c>
      <c r="F94" s="13">
        <v>-549</v>
      </c>
      <c r="G94" s="13">
        <v>-1820</v>
      </c>
      <c r="H94" s="14">
        <f>H183-G183</f>
        <v>616.57923945770381</v>
      </c>
      <c r="I94" s="14">
        <f t="shared" ref="I94:L94" si="56">I183-H183</f>
        <v>133.77055255210871</v>
      </c>
      <c r="J94" s="14">
        <f t="shared" si="56"/>
        <v>304.63382698323585</v>
      </c>
      <c r="K94" s="14">
        <f t="shared" si="56"/>
        <v>382.70523996051088</v>
      </c>
      <c r="L94" s="14">
        <f t="shared" si="56"/>
        <v>405.66755435814412</v>
      </c>
    </row>
    <row r="95" spans="2:12" x14ac:dyDescent="0.2">
      <c r="B95" s="24" t="s">
        <v>51</v>
      </c>
      <c r="C95" s="13">
        <v>-15</v>
      </c>
      <c r="D95" s="13">
        <v>512</v>
      </c>
      <c r="E95" s="13">
        <v>413</v>
      </c>
      <c r="F95" s="13">
        <v>-183</v>
      </c>
      <c r="G95" s="13">
        <v>-170</v>
      </c>
      <c r="H95" s="14">
        <f>H185-G185</f>
        <v>56.098750000000109</v>
      </c>
      <c r="I95" s="14">
        <f t="shared" ref="I95:L95" si="57">I185-H185</f>
        <v>30.900167041095983</v>
      </c>
      <c r="J95" s="14">
        <f t="shared" si="57"/>
        <v>49.334964262355925</v>
      </c>
      <c r="K95" s="14">
        <f t="shared" si="57"/>
        <v>61.773355252138117</v>
      </c>
      <c r="L95" s="14">
        <f t="shared" si="57"/>
        <v>64.244289462223833</v>
      </c>
    </row>
    <row r="96" spans="2:12" x14ac:dyDescent="0.2">
      <c r="B96" s="24" t="s">
        <v>79</v>
      </c>
      <c r="C96" s="13">
        <v>-639</v>
      </c>
      <c r="D96" s="13">
        <v>813</v>
      </c>
      <c r="E96" s="13">
        <v>-570</v>
      </c>
      <c r="F96" s="13">
        <v>388</v>
      </c>
      <c r="G96" s="13">
        <v>-2057</v>
      </c>
      <c r="H96" s="14">
        <f>H187-G187</f>
        <v>-84.298113836058292</v>
      </c>
      <c r="I96" s="14">
        <f t="shared" ref="I96:L96" si="58">I187-H187</f>
        <v>49.063612593695325</v>
      </c>
      <c r="J96" s="14">
        <f t="shared" si="58"/>
        <v>109.8679376005116</v>
      </c>
      <c r="K96" s="14">
        <f t="shared" si="58"/>
        <v>138.02484064149576</v>
      </c>
      <c r="L96" s="14">
        <f t="shared" si="58"/>
        <v>146.30633107998619</v>
      </c>
    </row>
    <row r="97" spans="2:12" x14ac:dyDescent="0.2">
      <c r="B97" s="24" t="s">
        <v>52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4">
        <f>H189-G189</f>
        <v>490.27506270350818</v>
      </c>
      <c r="I97" s="14">
        <f t="shared" ref="I97:L97" si="59">I189-H189</f>
        <v>11.632941135358919</v>
      </c>
      <c r="J97" s="14">
        <f t="shared" si="59"/>
        <v>24.810678769224864</v>
      </c>
      <c r="K97" s="14">
        <f t="shared" si="59"/>
        <v>30.43075385684142</v>
      </c>
      <c r="L97" s="14">
        <f t="shared" si="59"/>
        <v>28.657134335388832</v>
      </c>
    </row>
    <row r="98" spans="2:12" x14ac:dyDescent="0.2">
      <c r="B98" s="12" t="s">
        <v>80</v>
      </c>
      <c r="C98" s="41">
        <f>SUM(C92:C97)</f>
        <v>-2255</v>
      </c>
      <c r="D98" s="41">
        <f t="shared" ref="D98:L98" si="60">SUM(D92:D97)</f>
        <v>1895</v>
      </c>
      <c r="E98" s="41">
        <f t="shared" si="60"/>
        <v>-1127</v>
      </c>
      <c r="F98" s="41">
        <f t="shared" si="60"/>
        <v>-2882</v>
      </c>
      <c r="G98" s="41">
        <f t="shared" si="60"/>
        <v>-2228</v>
      </c>
      <c r="H98" s="41">
        <f t="shared" si="60"/>
        <v>715.00467610190617</v>
      </c>
      <c r="I98" s="41">
        <f t="shared" si="60"/>
        <v>-39.955489833488514</v>
      </c>
      <c r="J98" s="41">
        <f t="shared" si="60"/>
        <v>-107.3665203269835</v>
      </c>
      <c r="K98" s="41">
        <f t="shared" si="60"/>
        <v>-135.6816592508585</v>
      </c>
      <c r="L98" s="41">
        <f t="shared" si="60"/>
        <v>-147.78880285558478</v>
      </c>
    </row>
    <row r="99" spans="2:12" x14ac:dyDescent="0.2">
      <c r="B99" s="9" t="s">
        <v>81</v>
      </c>
      <c r="C99" s="27">
        <f t="shared" ref="C99:L99" si="61">SUM(C82:C97)</f>
        <v>4296</v>
      </c>
      <c r="D99" s="27">
        <f t="shared" si="61"/>
        <v>11049</v>
      </c>
      <c r="E99" s="27">
        <f t="shared" si="61"/>
        <v>10113</v>
      </c>
      <c r="F99" s="27">
        <f t="shared" si="61"/>
        <v>8589</v>
      </c>
      <c r="G99" s="27">
        <f t="shared" si="61"/>
        <v>8140</v>
      </c>
      <c r="H99" s="27">
        <f t="shared" si="61"/>
        <v>9446.0518355365984</v>
      </c>
      <c r="I99" s="27">
        <f t="shared" si="61"/>
        <v>8954.7254135582007</v>
      </c>
      <c r="J99" s="27">
        <f t="shared" si="61"/>
        <v>9255.2797885458567</v>
      </c>
      <c r="K99" s="27">
        <f t="shared" si="61"/>
        <v>9672.1831939395615</v>
      </c>
      <c r="L99" s="27">
        <f t="shared" si="61"/>
        <v>10089.432277448812</v>
      </c>
    </row>
    <row r="101" spans="2:12" x14ac:dyDescent="0.2">
      <c r="B101" s="9" t="s">
        <v>82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</row>
    <row r="102" spans="2:12" x14ac:dyDescent="0.2">
      <c r="B102" s="12" t="s">
        <v>83</v>
      </c>
      <c r="C102" s="13">
        <v>-743</v>
      </c>
      <c r="D102" s="13">
        <v>-3094</v>
      </c>
      <c r="E102" s="13">
        <v>-3065</v>
      </c>
      <c r="F102" s="13">
        <v>-1189</v>
      </c>
      <c r="G102" s="13">
        <v>-1785</v>
      </c>
      <c r="H102" s="14">
        <f>-H11*Assumptions!H41</f>
        <v>-1841.1535263070959</v>
      </c>
      <c r="I102" s="14">
        <f>-I11*Assumptions!I41</f>
        <v>-1868.7708292017021</v>
      </c>
      <c r="J102" s="14">
        <f>-J11*Assumptions!J41</f>
        <v>-1930.4402665653581</v>
      </c>
      <c r="K102" s="14">
        <f>-K11*Assumptions!K41</f>
        <v>-2007.6578772279724</v>
      </c>
      <c r="L102" s="14">
        <f>-L11*Assumptions!L41</f>
        <v>-2087.9641923170916</v>
      </c>
    </row>
    <row r="103" spans="2:12" x14ac:dyDescent="0.2">
      <c r="B103" s="12" t="s">
        <v>84</v>
      </c>
      <c r="C103" s="13">
        <v>695</v>
      </c>
      <c r="D103" s="13">
        <v>2926</v>
      </c>
      <c r="E103" s="13">
        <v>3293</v>
      </c>
      <c r="F103" s="13">
        <v>1174</v>
      </c>
      <c r="G103" s="13">
        <v>1722</v>
      </c>
      <c r="H103" s="14">
        <f>H11*Assumptions!H42</f>
        <v>1823.421844836997</v>
      </c>
      <c r="I103" s="14">
        <f>I11*Assumptions!I42</f>
        <v>1850.7731725095518</v>
      </c>
      <c r="J103" s="14">
        <f>J11*Assumptions!J42</f>
        <v>1911.8486872023668</v>
      </c>
      <c r="K103" s="14">
        <f>K11*Assumptions!K42</f>
        <v>1988.3226346904614</v>
      </c>
      <c r="L103" s="14">
        <f>L11*Assumptions!L42</f>
        <v>2067.8555400780801</v>
      </c>
    </row>
    <row r="104" spans="2:12" x14ac:dyDescent="0.2">
      <c r="B104" s="12" t="s">
        <v>85</v>
      </c>
      <c r="C104" s="13">
        <v>-1484</v>
      </c>
      <c r="D104" s="13">
        <v>-1791</v>
      </c>
      <c r="E104" s="13">
        <v>-1853</v>
      </c>
      <c r="F104" s="13">
        <v>-1829</v>
      </c>
      <c r="G104" s="13">
        <v>-1964</v>
      </c>
      <c r="H104" s="14">
        <f>-H11*Assumptions!H43</f>
        <v>-1974.0383637500001</v>
      </c>
      <c r="I104" s="14">
        <f>-I11*Assumptions!I43</f>
        <v>-1875.7564537249998</v>
      </c>
      <c r="J104" s="14">
        <f>-J11*Assumptions!J43</f>
        <v>-1761.5058333617499</v>
      </c>
      <c r="K104" s="14">
        <f>-K11*Assumptions!K43</f>
        <v>-1831.9660666962197</v>
      </c>
      <c r="L104" s="14">
        <f>-L11*Assumptions!L43</f>
        <v>-1905.2447093640687</v>
      </c>
    </row>
    <row r="105" spans="2:12" x14ac:dyDescent="0.2">
      <c r="B105" s="12" t="s">
        <v>86</v>
      </c>
      <c r="C105" s="13">
        <v>163</v>
      </c>
      <c r="D105" s="13">
        <v>90</v>
      </c>
      <c r="E105" s="13">
        <v>113</v>
      </c>
      <c r="F105" s="13">
        <v>45</v>
      </c>
      <c r="G105" s="13">
        <v>53</v>
      </c>
      <c r="H105" s="14">
        <f>H11*Assumptions!H44</f>
        <v>42.000816250000007</v>
      </c>
      <c r="I105" s="14">
        <f>I11*Assumptions!I44</f>
        <v>42.630828493750002</v>
      </c>
      <c r="J105" s="14">
        <f>J11*Assumptions!J44</f>
        <v>44.037645834043744</v>
      </c>
      <c r="K105" s="14">
        <f>K11*Assumptions!K44</f>
        <v>45.799151667405496</v>
      </c>
      <c r="L105" s="14">
        <f>L11*Assumptions!L44</f>
        <v>47.631117734101721</v>
      </c>
    </row>
    <row r="106" spans="2:12" x14ac:dyDescent="0.2">
      <c r="B106" s="12" t="s">
        <v>87</v>
      </c>
      <c r="C106" s="13">
        <v>0</v>
      </c>
      <c r="D106" s="13">
        <v>0</v>
      </c>
      <c r="E106" s="13">
        <v>0</v>
      </c>
      <c r="F106" s="13">
        <v>491</v>
      </c>
      <c r="G106" s="13">
        <v>100</v>
      </c>
      <c r="H106" s="14">
        <f>Assumptions!H45</f>
        <v>0</v>
      </c>
      <c r="I106" s="14">
        <f>Assumptions!I45</f>
        <v>0</v>
      </c>
      <c r="J106" s="14">
        <f>Assumptions!J45</f>
        <v>0</v>
      </c>
      <c r="K106" s="14">
        <f>Assumptions!K45</f>
        <v>0</v>
      </c>
      <c r="L106" s="14">
        <f>Assumptions!L45</f>
        <v>0</v>
      </c>
    </row>
    <row r="107" spans="2:12" x14ac:dyDescent="0.2">
      <c r="B107" s="12" t="s">
        <v>88</v>
      </c>
      <c r="C107" s="13">
        <v>0</v>
      </c>
      <c r="D107" s="13">
        <v>-25</v>
      </c>
      <c r="E107" s="13">
        <v>-134</v>
      </c>
      <c r="F107" s="13">
        <v>-1</v>
      </c>
      <c r="G107" s="13">
        <v>-27</v>
      </c>
      <c r="H107" s="14">
        <f>Assumptions!H46</f>
        <v>-10</v>
      </c>
      <c r="I107" s="14">
        <f>Assumptions!I46</f>
        <v>-10</v>
      </c>
      <c r="J107" s="14">
        <f>Assumptions!J46</f>
        <v>-10</v>
      </c>
      <c r="K107" s="14">
        <f>Assumptions!K46</f>
        <v>-10</v>
      </c>
      <c r="L107" s="14">
        <f>Assumptions!L46</f>
        <v>-10</v>
      </c>
    </row>
    <row r="108" spans="2:12" x14ac:dyDescent="0.2">
      <c r="B108" s="9" t="s">
        <v>89</v>
      </c>
      <c r="C108" s="27">
        <f>SUM(C102:C107)</f>
        <v>-1369</v>
      </c>
      <c r="D108" s="27">
        <f>SUM(D102:D107)</f>
        <v>-1894</v>
      </c>
      <c r="E108" s="27">
        <f>SUM(E102:E107)</f>
        <v>-1646</v>
      </c>
      <c r="F108" s="27">
        <f>SUM(F102:F107)</f>
        <v>-1309</v>
      </c>
      <c r="G108" s="27">
        <f>SUM(G102:G107)</f>
        <v>-1901</v>
      </c>
      <c r="H108" s="27">
        <f t="shared" ref="H108:L108" si="62">SUM(H102:H107)</f>
        <v>-1959.769228970099</v>
      </c>
      <c r="I108" s="27">
        <f t="shared" si="62"/>
        <v>-1861.1232819234001</v>
      </c>
      <c r="J108" s="27">
        <f t="shared" si="62"/>
        <v>-1746.0597668906973</v>
      </c>
      <c r="K108" s="27">
        <f t="shared" si="62"/>
        <v>-1815.5021575663252</v>
      </c>
      <c r="L108" s="27">
        <f t="shared" si="62"/>
        <v>-1887.7222438689785</v>
      </c>
    </row>
    <row r="110" spans="2:12" x14ac:dyDescent="0.2">
      <c r="B110" s="9" t="s">
        <v>90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</row>
    <row r="111" spans="2:12" x14ac:dyDescent="0.2">
      <c r="B111" s="12" t="s">
        <v>91</v>
      </c>
      <c r="C111" s="13">
        <v>220</v>
      </c>
      <c r="D111" s="13">
        <v>-941</v>
      </c>
      <c r="E111" s="13">
        <v>0</v>
      </c>
      <c r="F111" s="13">
        <v>499</v>
      </c>
      <c r="G111" s="13">
        <v>-499</v>
      </c>
      <c r="H111" s="14">
        <f>H219+H220</f>
        <v>0</v>
      </c>
      <c r="I111" s="14">
        <f t="shared" ref="I111:L111" si="63">I219+I220</f>
        <v>0</v>
      </c>
      <c r="J111" s="14">
        <f t="shared" si="63"/>
        <v>0</v>
      </c>
      <c r="K111" s="14">
        <f t="shared" si="63"/>
        <v>0</v>
      </c>
      <c r="L111" s="14">
        <f t="shared" si="63"/>
        <v>0</v>
      </c>
    </row>
    <row r="112" spans="2:12" x14ac:dyDescent="0.2">
      <c r="B112" s="12" t="s">
        <v>92</v>
      </c>
      <c r="C112" s="13">
        <v>3972</v>
      </c>
      <c r="D112" s="13">
        <v>7929</v>
      </c>
      <c r="E112" s="13">
        <v>4972</v>
      </c>
      <c r="F112" s="13">
        <v>9667</v>
      </c>
      <c r="G112" s="13">
        <v>2983</v>
      </c>
      <c r="H112" s="14">
        <f>H228+H229</f>
        <v>0</v>
      </c>
      <c r="I112" s="14">
        <f t="shared" ref="I112:L112" si="64">I228+I229</f>
        <v>0</v>
      </c>
      <c r="J112" s="14">
        <f t="shared" si="64"/>
        <v>0</v>
      </c>
      <c r="K112" s="14">
        <f t="shared" si="64"/>
        <v>0</v>
      </c>
      <c r="L112" s="14">
        <f t="shared" si="64"/>
        <v>0</v>
      </c>
    </row>
    <row r="113" spans="2:12" x14ac:dyDescent="0.2">
      <c r="B113" s="12" t="s">
        <v>93</v>
      </c>
      <c r="C113" s="13">
        <v>-1113</v>
      </c>
      <c r="D113" s="13">
        <v>-5618</v>
      </c>
      <c r="E113" s="13">
        <v>-2118</v>
      </c>
      <c r="F113" s="13">
        <v>-867</v>
      </c>
      <c r="G113" s="13">
        <v>-601</v>
      </c>
      <c r="H113" s="14">
        <f>H246+H247</f>
        <v>0</v>
      </c>
      <c r="I113" s="14">
        <f t="shared" ref="I113:L113" si="65">I246+I247</f>
        <v>0</v>
      </c>
      <c r="J113" s="14">
        <f t="shared" si="65"/>
        <v>0</v>
      </c>
      <c r="K113" s="14">
        <f t="shared" si="65"/>
        <v>0</v>
      </c>
      <c r="L113" s="14">
        <f t="shared" si="65"/>
        <v>0</v>
      </c>
    </row>
    <row r="114" spans="2:12" x14ac:dyDescent="0.2">
      <c r="B114" s="12" t="s">
        <v>94</v>
      </c>
      <c r="C114" s="13">
        <v>118</v>
      </c>
      <c r="D114" s="13">
        <v>152</v>
      </c>
      <c r="E114" s="13">
        <v>132</v>
      </c>
      <c r="F114" s="13">
        <v>151</v>
      </c>
      <c r="G114" s="13">
        <v>141</v>
      </c>
      <c r="H114" s="14">
        <f>H23*Assumptions!H48</f>
        <v>134.76132559223686</v>
      </c>
      <c r="I114" s="14">
        <f>I23*Assumptions!I48</f>
        <v>137.70779469808693</v>
      </c>
      <c r="J114" s="14">
        <f>J23*Assumptions!J48</f>
        <v>144.0951058501964</v>
      </c>
      <c r="K114" s="14">
        <f>K23*Assumptions!K48</f>
        <v>151.92926046099237</v>
      </c>
      <c r="L114" s="14">
        <f>L23*Assumptions!L48</f>
        <v>159.30681088718114</v>
      </c>
    </row>
    <row r="115" spans="2:12" x14ac:dyDescent="0.2">
      <c r="B115" s="12" t="s">
        <v>95</v>
      </c>
      <c r="C115" s="13">
        <v>-1618</v>
      </c>
      <c r="D115" s="13">
        <v>-1704</v>
      </c>
      <c r="E115" s="13">
        <v>-1984</v>
      </c>
      <c r="F115" s="13">
        <v>-2370</v>
      </c>
      <c r="G115" s="13">
        <v>-2531</v>
      </c>
      <c r="H115" s="14">
        <f>Assumptions!H49</f>
        <v>-2524.235449735449</v>
      </c>
      <c r="I115" s="14">
        <f>Assumptions!I49</f>
        <v>-2635.1908541194252</v>
      </c>
      <c r="J115" s="14">
        <f>Assumptions!J49</f>
        <v>-2706.868045351473</v>
      </c>
      <c r="K115" s="14">
        <f>Assumptions!K49</f>
        <v>-2797.4342846258496</v>
      </c>
      <c r="L115" s="14">
        <f>Assumptions!L49</f>
        <v>-2856.3276379863937</v>
      </c>
    </row>
    <row r="116" spans="2:12" x14ac:dyDescent="0.2">
      <c r="B116" s="12" t="s">
        <v>96</v>
      </c>
      <c r="C116" s="13">
        <v>-4313</v>
      </c>
      <c r="D116" s="13">
        <v>-4971</v>
      </c>
      <c r="E116" s="13">
        <v>-13012</v>
      </c>
      <c r="F116" s="13">
        <v>-14124</v>
      </c>
      <c r="G116" s="13">
        <v>-6138</v>
      </c>
      <c r="H116" s="14">
        <f>Assumptions!H52</f>
        <v>-5000</v>
      </c>
      <c r="I116" s="14">
        <f>Assumptions!I52</f>
        <v>-5000</v>
      </c>
      <c r="J116" s="14">
        <f>Assumptions!J52</f>
        <v>-5000</v>
      </c>
      <c r="K116" s="14">
        <f>Assumptions!K52</f>
        <v>-5000</v>
      </c>
      <c r="L116" s="14">
        <f>Assumptions!L52</f>
        <v>-5000</v>
      </c>
    </row>
    <row r="117" spans="2:12" x14ac:dyDescent="0.2">
      <c r="B117" s="12" t="s">
        <v>88</v>
      </c>
      <c r="C117" s="13">
        <v>-1</v>
      </c>
      <c r="D117" s="13">
        <v>-38</v>
      </c>
      <c r="E117" s="13">
        <v>-6</v>
      </c>
      <c r="F117" s="13">
        <v>-5</v>
      </c>
      <c r="G117" s="13">
        <v>-21</v>
      </c>
      <c r="H117" s="14">
        <f>H11*Assumptions!H53</f>
        <v>-6.720130600000001</v>
      </c>
      <c r="I117" s="14">
        <f>I11*Assumptions!I53</f>
        <v>-6.8209325590000001</v>
      </c>
      <c r="J117" s="14">
        <f>J11*Assumptions!J53</f>
        <v>-7.0460233334469997</v>
      </c>
      <c r="K117" s="14">
        <f>K11*Assumptions!K53</f>
        <v>-7.3278642667848795</v>
      </c>
      <c r="L117" s="14">
        <f>L11*Assumptions!L53</f>
        <v>-7.620978837456275</v>
      </c>
    </row>
    <row r="118" spans="2:12" x14ac:dyDescent="0.2">
      <c r="B118" s="9" t="s">
        <v>97</v>
      </c>
      <c r="C118" s="27">
        <f>SUM(C111:C117)</f>
        <v>-2735</v>
      </c>
      <c r="D118" s="27">
        <f>SUM(D111:D117)</f>
        <v>-5191</v>
      </c>
      <c r="E118" s="27">
        <f>SUM(E111:E117)</f>
        <v>-12016</v>
      </c>
      <c r="F118" s="27">
        <f>SUM(F111:F117)</f>
        <v>-7049</v>
      </c>
      <c r="G118" s="27">
        <f>SUM(G111:G117)</f>
        <v>-6666</v>
      </c>
      <c r="H118" s="27">
        <f t="shared" ref="H118:L118" si="66">SUM(H111:H117)</f>
        <v>-7396.1942547432118</v>
      </c>
      <c r="I118" s="27">
        <f t="shared" si="66"/>
        <v>-7504.3039919803377</v>
      </c>
      <c r="J118" s="27">
        <f t="shared" si="66"/>
        <v>-7569.8189628347236</v>
      </c>
      <c r="K118" s="27">
        <f t="shared" si="66"/>
        <v>-7652.8328884316415</v>
      </c>
      <c r="L118" s="27">
        <f t="shared" si="66"/>
        <v>-7704.6418059366688</v>
      </c>
    </row>
    <row r="120" spans="2:12" x14ac:dyDescent="0.2">
      <c r="B120" s="12" t="s">
        <v>98</v>
      </c>
      <c r="C120" s="13">
        <v>1</v>
      </c>
      <c r="D120" s="13">
        <v>10</v>
      </c>
      <c r="E120" s="13">
        <v>-8</v>
      </c>
      <c r="F120" s="13">
        <v>-16</v>
      </c>
      <c r="G120" s="13">
        <v>0</v>
      </c>
      <c r="H120" s="5">
        <f>Assumptions!H55</f>
        <v>0</v>
      </c>
      <c r="I120" s="5">
        <f>Assumptions!I55</f>
        <v>0</v>
      </c>
      <c r="J120" s="5">
        <f>Assumptions!J55</f>
        <v>0</v>
      </c>
      <c r="K120" s="5">
        <f>Assumptions!K55</f>
        <v>0</v>
      </c>
      <c r="L120" s="5">
        <f>Assumptions!L55</f>
        <v>0</v>
      </c>
    </row>
    <row r="122" spans="2:12" x14ac:dyDescent="0.2">
      <c r="B122" s="12" t="s">
        <v>99</v>
      </c>
      <c r="C122" s="14">
        <f>C99+C108+C118+C120</f>
        <v>193</v>
      </c>
      <c r="D122" s="14">
        <f>D99+D108+D118+D120</f>
        <v>3974</v>
      </c>
      <c r="E122" s="14">
        <f>E99+E108+E118+E120</f>
        <v>-3557</v>
      </c>
      <c r="F122" s="14">
        <f>F99+F108+F118+F120</f>
        <v>215</v>
      </c>
      <c r="G122" s="14">
        <f>G99+G108+G118+G120</f>
        <v>-427</v>
      </c>
      <c r="H122" s="14">
        <f t="shared" ref="H122:L122" si="67">H99+H108+H118+H120</f>
        <v>90.088351823287667</v>
      </c>
      <c r="I122" s="14">
        <f t="shared" si="67"/>
        <v>-410.70186034553717</v>
      </c>
      <c r="J122" s="14">
        <f t="shared" si="67"/>
        <v>-60.598941179564463</v>
      </c>
      <c r="K122" s="14">
        <f t="shared" si="67"/>
        <v>203.84814794159502</v>
      </c>
      <c r="L122" s="14">
        <f t="shared" si="67"/>
        <v>497.06822764316439</v>
      </c>
    </row>
    <row r="123" spans="2:12" x14ac:dyDescent="0.2">
      <c r="B123" s="12" t="s">
        <v>109</v>
      </c>
      <c r="C123" s="13">
        <v>12</v>
      </c>
      <c r="D123" s="13">
        <v>0</v>
      </c>
      <c r="E123" s="13">
        <v>0</v>
      </c>
      <c r="F123" s="13">
        <v>0</v>
      </c>
      <c r="G123" s="13">
        <v>0</v>
      </c>
      <c r="H123" s="5">
        <f>Assumptions!H56</f>
        <v>0</v>
      </c>
      <c r="I123" s="5">
        <f>Assumptions!I56</f>
        <v>0</v>
      </c>
      <c r="J123" s="5">
        <f>Assumptions!J56</f>
        <v>0</v>
      </c>
      <c r="K123" s="5">
        <f>Assumptions!K56</f>
        <v>0</v>
      </c>
      <c r="L123" s="5">
        <f>Assumptions!L56</f>
        <v>0</v>
      </c>
    </row>
    <row r="124" spans="2:12" x14ac:dyDescent="0.2">
      <c r="B124" s="12" t="s">
        <v>110</v>
      </c>
      <c r="C124" s="14">
        <f>C122+C123</f>
        <v>205</v>
      </c>
      <c r="D124" s="14">
        <f>D122+D123</f>
        <v>3974</v>
      </c>
      <c r="E124" s="14">
        <f>E122+E123</f>
        <v>-3557</v>
      </c>
      <c r="F124" s="14">
        <f>F122+F123</f>
        <v>215</v>
      </c>
      <c r="G124" s="14">
        <f>G122+G123</f>
        <v>-427</v>
      </c>
      <c r="H124" s="14">
        <f t="shared" ref="H124:L124" si="68">H122+H123</f>
        <v>90.088351823287667</v>
      </c>
      <c r="I124" s="14">
        <f t="shared" si="68"/>
        <v>-410.70186034553717</v>
      </c>
      <c r="J124" s="14">
        <f t="shared" si="68"/>
        <v>-60.598941179564463</v>
      </c>
      <c r="K124" s="14">
        <f t="shared" si="68"/>
        <v>203.84814794159502</v>
      </c>
      <c r="L124" s="14">
        <f t="shared" si="68"/>
        <v>497.06822764316439</v>
      </c>
    </row>
    <row r="125" spans="2:12" x14ac:dyDescent="0.2">
      <c r="B125" s="12" t="s">
        <v>100</v>
      </c>
      <c r="C125" s="28">
        <v>511</v>
      </c>
      <c r="D125" s="28">
        <f>C126</f>
        <v>716</v>
      </c>
      <c r="E125" s="28">
        <f>D126</f>
        <v>4690</v>
      </c>
      <c r="F125" s="28">
        <f>E126</f>
        <v>1133</v>
      </c>
      <c r="G125" s="28">
        <f>F126</f>
        <v>1348</v>
      </c>
      <c r="H125" s="28">
        <f t="shared" ref="H125:L125" si="69">G126</f>
        <v>921</v>
      </c>
      <c r="I125" s="28">
        <f t="shared" si="69"/>
        <v>1011.0883518232877</v>
      </c>
      <c r="J125" s="28">
        <f t="shared" si="69"/>
        <v>600.3864914777505</v>
      </c>
      <c r="K125" s="28">
        <f t="shared" si="69"/>
        <v>539.78755029818603</v>
      </c>
      <c r="L125" s="28">
        <f t="shared" si="69"/>
        <v>743.63569823978105</v>
      </c>
    </row>
    <row r="126" spans="2:12" ht="12.75" thickBot="1" x14ac:dyDescent="0.25">
      <c r="B126" s="12" t="s">
        <v>101</v>
      </c>
      <c r="C126" s="29">
        <f>C124+C125</f>
        <v>716</v>
      </c>
      <c r="D126" s="29">
        <f>D124+D125</f>
        <v>4690</v>
      </c>
      <c r="E126" s="29">
        <f>E124+E125</f>
        <v>1133</v>
      </c>
      <c r="F126" s="29">
        <f>F124+F125</f>
        <v>1348</v>
      </c>
      <c r="G126" s="29">
        <f>G124+G125</f>
        <v>921</v>
      </c>
      <c r="H126" s="29">
        <f t="shared" ref="H126:L126" si="70">H124+H125</f>
        <v>1011.0883518232877</v>
      </c>
      <c r="I126" s="29">
        <f t="shared" si="70"/>
        <v>600.3864914777505</v>
      </c>
      <c r="J126" s="29">
        <f t="shared" si="70"/>
        <v>539.78755029818603</v>
      </c>
      <c r="K126" s="29">
        <f t="shared" si="70"/>
        <v>743.63569823978105</v>
      </c>
      <c r="L126" s="29">
        <f t="shared" si="70"/>
        <v>1240.7039258829454</v>
      </c>
    </row>
    <row r="127" spans="2:12" ht="12.75" thickTop="1" x14ac:dyDescent="0.2"/>
    <row r="128" spans="2:12" x14ac:dyDescent="0.2">
      <c r="B128" s="5" t="s">
        <v>188</v>
      </c>
      <c r="H128" s="14">
        <f>H99+H108+H114+H115+H116+H117</f>
        <v>90.088351823287383</v>
      </c>
      <c r="I128" s="14">
        <f t="shared" ref="I128:L128" si="71">I99+I108+I114+I115+I116+I117</f>
        <v>-410.70186034553757</v>
      </c>
      <c r="J128" s="14">
        <f t="shared" si="71"/>
        <v>-60.598941179565358</v>
      </c>
      <c r="K128" s="14">
        <f t="shared" si="71"/>
        <v>203.84814794159482</v>
      </c>
      <c r="L128" s="14">
        <f t="shared" si="71"/>
        <v>497.06822764316439</v>
      </c>
    </row>
    <row r="130" spans="2:12" x14ac:dyDescent="0.2">
      <c r="B130" s="8" t="s">
        <v>111</v>
      </c>
      <c r="C130" s="8"/>
      <c r="D130" s="8"/>
      <c r="E130" s="8"/>
      <c r="F130" s="8"/>
      <c r="G130" s="8"/>
      <c r="H130" s="8"/>
      <c r="I130" s="8"/>
      <c r="J130" s="8"/>
      <c r="K130" s="8"/>
      <c r="L130" s="8"/>
    </row>
    <row r="132" spans="2:12" x14ac:dyDescent="0.2">
      <c r="B132" s="5" t="s">
        <v>132</v>
      </c>
      <c r="C132" s="14">
        <f>C83</f>
        <v>1410</v>
      </c>
      <c r="D132" s="14">
        <f>D83</f>
        <v>1594</v>
      </c>
      <c r="E132" s="14">
        <f>E83</f>
        <v>1882</v>
      </c>
      <c r="F132" s="14">
        <f>F83</f>
        <v>1981</v>
      </c>
      <c r="G132" s="14">
        <f>G83</f>
        <v>1923</v>
      </c>
    </row>
    <row r="133" spans="2:12" x14ac:dyDescent="0.2">
      <c r="B133" s="23" t="s">
        <v>133</v>
      </c>
      <c r="D133" s="17">
        <f>D132/C132-1</f>
        <v>0.13049645390070919</v>
      </c>
      <c r="E133" s="17">
        <f t="shared" ref="E133:G133" si="72">E132/D132-1</f>
        <v>0.18067754077791709</v>
      </c>
      <c r="F133" s="17">
        <f t="shared" si="72"/>
        <v>5.2603613177470754E-2</v>
      </c>
      <c r="G133" s="17">
        <f t="shared" si="72"/>
        <v>-2.9278142352347269E-2</v>
      </c>
    </row>
    <row r="135" spans="2:12" x14ac:dyDescent="0.2">
      <c r="B135" s="6" t="s">
        <v>134</v>
      </c>
      <c r="H135" s="14">
        <f>G40</f>
        <v>17653</v>
      </c>
    </row>
    <row r="136" spans="2:12" x14ac:dyDescent="0.2">
      <c r="B136" s="6" t="s">
        <v>135</v>
      </c>
      <c r="H136" s="14">
        <f>-H104</f>
        <v>1974.0383637500001</v>
      </c>
      <c r="I136" s="14">
        <f t="shared" ref="I136:L136" si="73">-I104</f>
        <v>1875.7564537249998</v>
      </c>
      <c r="J136" s="14">
        <f t="shared" si="73"/>
        <v>1761.5058333617499</v>
      </c>
      <c r="K136" s="14">
        <f t="shared" si="73"/>
        <v>1831.9660666962197</v>
      </c>
      <c r="L136" s="14">
        <f t="shared" si="73"/>
        <v>1905.2447093640687</v>
      </c>
    </row>
    <row r="138" spans="2:12" x14ac:dyDescent="0.2">
      <c r="B138" s="6" t="s">
        <v>136</v>
      </c>
    </row>
    <row r="139" spans="2:12" x14ac:dyDescent="0.2">
      <c r="B139" s="12" t="s">
        <v>137</v>
      </c>
    </row>
    <row r="140" spans="2:12" x14ac:dyDescent="0.2">
      <c r="B140" s="24" t="s">
        <v>138</v>
      </c>
      <c r="H140" s="32">
        <v>11</v>
      </c>
    </row>
    <row r="141" spans="2:12" x14ac:dyDescent="0.2">
      <c r="B141" s="24" t="s">
        <v>139</v>
      </c>
      <c r="H141" s="32">
        <v>25</v>
      </c>
      <c r="I141" s="32">
        <v>25</v>
      </c>
      <c r="J141" s="32">
        <v>25</v>
      </c>
      <c r="K141" s="32">
        <v>25</v>
      </c>
      <c r="L141" s="32">
        <v>25</v>
      </c>
    </row>
    <row r="142" spans="2:12" x14ac:dyDescent="0.2">
      <c r="B142" s="6" t="s">
        <v>140</v>
      </c>
    </row>
    <row r="143" spans="2:12" x14ac:dyDescent="0.2">
      <c r="B143" s="12" t="s">
        <v>141</v>
      </c>
      <c r="H143" s="14">
        <f>$H$135/$H$140</f>
        <v>1604.8181818181818</v>
      </c>
      <c r="I143" s="14">
        <f t="shared" ref="I143:L143" si="74">$H$135/$H$140</f>
        <v>1604.8181818181818</v>
      </c>
      <c r="J143" s="14">
        <f t="shared" si="74"/>
        <v>1604.8181818181818</v>
      </c>
      <c r="K143" s="14">
        <f t="shared" si="74"/>
        <v>1604.8181818181818</v>
      </c>
      <c r="L143" s="14">
        <f t="shared" si="74"/>
        <v>1604.8181818181818</v>
      </c>
    </row>
    <row r="144" spans="2:12" x14ac:dyDescent="0.2">
      <c r="B144" s="12" t="s">
        <v>142</v>
      </c>
      <c r="H144" s="14">
        <f>$H$136/$H$141</f>
        <v>78.96153455000001</v>
      </c>
      <c r="I144" s="14">
        <f>$H$136/$H$141</f>
        <v>78.96153455000001</v>
      </c>
      <c r="J144" s="14">
        <f t="shared" ref="J144:L144" si="75">$H$136/$H$141</f>
        <v>78.96153455000001</v>
      </c>
      <c r="K144" s="14">
        <f t="shared" si="75"/>
        <v>78.96153455000001</v>
      </c>
      <c r="L144" s="14">
        <f t="shared" si="75"/>
        <v>78.96153455000001</v>
      </c>
    </row>
    <row r="145" spans="2:12" x14ac:dyDescent="0.2">
      <c r="B145" s="12" t="s">
        <v>143</v>
      </c>
      <c r="H145" s="14"/>
      <c r="I145" s="14">
        <f>$I$136/$I$141</f>
        <v>75.030258148999991</v>
      </c>
      <c r="J145" s="14">
        <f t="shared" ref="J145:L145" si="76">$I$136/$I$141</f>
        <v>75.030258148999991</v>
      </c>
      <c r="K145" s="14">
        <f t="shared" si="76"/>
        <v>75.030258148999991</v>
      </c>
      <c r="L145" s="14">
        <f t="shared" si="76"/>
        <v>75.030258148999991</v>
      </c>
    </row>
    <row r="146" spans="2:12" x14ac:dyDescent="0.2">
      <c r="B146" s="12" t="s">
        <v>144</v>
      </c>
      <c r="H146" s="14"/>
      <c r="I146" s="14"/>
      <c r="J146" s="14">
        <f>$J$136/$J$141</f>
        <v>70.46023333446999</v>
      </c>
      <c r="K146" s="14">
        <f t="shared" ref="K146:L146" si="77">$J$136/$J$141</f>
        <v>70.46023333446999</v>
      </c>
      <c r="L146" s="14">
        <f t="shared" si="77"/>
        <v>70.46023333446999</v>
      </c>
    </row>
    <row r="147" spans="2:12" x14ac:dyDescent="0.2">
      <c r="B147" s="12" t="s">
        <v>145</v>
      </c>
      <c r="H147" s="14"/>
      <c r="I147" s="14"/>
      <c r="J147" s="14"/>
      <c r="K147" s="14">
        <f>$K$136/$K$141</f>
        <v>73.278642667848786</v>
      </c>
      <c r="L147" s="14">
        <f>$K$136/$K$141</f>
        <v>73.278642667848786</v>
      </c>
    </row>
    <row r="148" spans="2:12" x14ac:dyDescent="0.2">
      <c r="B148" s="12" t="s">
        <v>146</v>
      </c>
      <c r="H148" s="14"/>
      <c r="I148" s="14"/>
      <c r="J148" s="14"/>
      <c r="K148" s="14"/>
      <c r="L148" s="14">
        <f>$L$136/$L$141</f>
        <v>76.209788374562748</v>
      </c>
    </row>
    <row r="149" spans="2:12" ht="12.75" thickBot="1" x14ac:dyDescent="0.25">
      <c r="B149" s="35" t="s">
        <v>147</v>
      </c>
      <c r="H149" s="37">
        <f>SUM(H143:H148)</f>
        <v>1683.7797163681817</v>
      </c>
      <c r="I149" s="37">
        <f t="shared" ref="I149:L149" si="78">SUM(I143:I148)</f>
        <v>1758.8099745171817</v>
      </c>
      <c r="J149" s="37">
        <f t="shared" si="78"/>
        <v>1829.2702078516518</v>
      </c>
      <c r="K149" s="37">
        <f t="shared" si="78"/>
        <v>1902.5488505195005</v>
      </c>
      <c r="L149" s="37">
        <f t="shared" si="78"/>
        <v>1978.7586388940633</v>
      </c>
    </row>
    <row r="150" spans="2:12" ht="12.75" thickTop="1" x14ac:dyDescent="0.2">
      <c r="B150" s="23" t="s">
        <v>133</v>
      </c>
      <c r="I150" s="17">
        <f>I149/H149-1</f>
        <v>4.4560614087236994E-2</v>
      </c>
      <c r="J150" s="17">
        <f t="shared" ref="J150:L150" si="79">J149/I149-1</f>
        <v>4.0061310974661923E-2</v>
      </c>
      <c r="K150" s="17">
        <f t="shared" si="79"/>
        <v>4.0058949385016973E-2</v>
      </c>
      <c r="L150" s="17">
        <f t="shared" si="79"/>
        <v>4.0056678888299446E-2</v>
      </c>
    </row>
    <row r="152" spans="2:12" x14ac:dyDescent="0.2">
      <c r="B152" s="6" t="s">
        <v>148</v>
      </c>
    </row>
    <row r="153" spans="2:12" x14ac:dyDescent="0.2">
      <c r="B153" s="12" t="s">
        <v>141</v>
      </c>
      <c r="H153" s="31">
        <v>8.7499999999999994E-2</v>
      </c>
      <c r="I153" s="31">
        <v>9.1300000000000006E-2</v>
      </c>
      <c r="J153" s="31">
        <v>8.2100000000000006E-2</v>
      </c>
      <c r="K153" s="31">
        <v>7.3899999999999993E-2</v>
      </c>
      <c r="L153" s="31">
        <v>6.6500000000000004E-2</v>
      </c>
    </row>
    <row r="154" spans="2:12" x14ac:dyDescent="0.2">
      <c r="B154" s="12" t="s">
        <v>142</v>
      </c>
      <c r="H154" s="31">
        <v>8.7499999999999994E-2</v>
      </c>
      <c r="I154" s="31">
        <v>9.1300000000000006E-2</v>
      </c>
      <c r="J154" s="31">
        <v>8.2100000000000006E-2</v>
      </c>
      <c r="K154" s="31">
        <v>7.3899999999999993E-2</v>
      </c>
      <c r="L154" s="31">
        <v>6.6500000000000004E-2</v>
      </c>
    </row>
    <row r="155" spans="2:12" x14ac:dyDescent="0.2">
      <c r="B155" s="12" t="s">
        <v>143</v>
      </c>
      <c r="H155" s="31"/>
      <c r="I155" s="31">
        <v>8.7499999999999994E-2</v>
      </c>
      <c r="J155" s="31">
        <v>9.1300000000000006E-2</v>
      </c>
      <c r="K155" s="31">
        <v>8.2100000000000006E-2</v>
      </c>
      <c r="L155" s="31">
        <v>7.3899999999999993E-2</v>
      </c>
    </row>
    <row r="156" spans="2:12" x14ac:dyDescent="0.2">
      <c r="B156" s="12" t="s">
        <v>144</v>
      </c>
      <c r="H156" s="31"/>
      <c r="I156" s="31"/>
      <c r="J156" s="31">
        <v>8.7499999999999994E-2</v>
      </c>
      <c r="K156" s="31">
        <v>9.1300000000000006E-2</v>
      </c>
      <c r="L156" s="31">
        <v>8.2100000000000006E-2</v>
      </c>
    </row>
    <row r="157" spans="2:12" x14ac:dyDescent="0.2">
      <c r="B157" s="12" t="s">
        <v>145</v>
      </c>
      <c r="H157" s="31"/>
      <c r="I157" s="31"/>
      <c r="J157" s="31"/>
      <c r="K157" s="31">
        <v>8.7499999999999994E-2</v>
      </c>
      <c r="L157" s="31">
        <v>9.1300000000000006E-2</v>
      </c>
    </row>
    <row r="158" spans="2:12" x14ac:dyDescent="0.2">
      <c r="B158" s="12" t="s">
        <v>146</v>
      </c>
      <c r="H158" s="31"/>
      <c r="I158" s="31"/>
      <c r="J158" s="31"/>
      <c r="K158" s="31"/>
      <c r="L158" s="31">
        <v>8.7499999999999994E-2</v>
      </c>
    </row>
    <row r="159" spans="2:12" x14ac:dyDescent="0.2">
      <c r="B159" s="12"/>
    </row>
    <row r="160" spans="2:12" x14ac:dyDescent="0.2">
      <c r="B160" s="6" t="s">
        <v>149</v>
      </c>
    </row>
    <row r="161" spans="2:12" x14ac:dyDescent="0.2">
      <c r="B161" s="12" t="s">
        <v>141</v>
      </c>
      <c r="H161" s="14">
        <f>$H$135*H153</f>
        <v>1544.6374999999998</v>
      </c>
      <c r="I161" s="14">
        <f>$H$135*I153</f>
        <v>1611.7189000000001</v>
      </c>
      <c r="J161" s="14">
        <f>$H$135*J153</f>
        <v>1449.3113000000001</v>
      </c>
      <c r="K161" s="14">
        <f t="shared" ref="K161:L161" si="80">$H$135*K153</f>
        <v>1304.5566999999999</v>
      </c>
      <c r="L161" s="14">
        <f t="shared" si="80"/>
        <v>1173.9245000000001</v>
      </c>
    </row>
    <row r="162" spans="2:12" x14ac:dyDescent="0.2">
      <c r="B162" s="12" t="s">
        <v>142</v>
      </c>
      <c r="H162" s="14">
        <f>$H$136*H154</f>
        <v>172.72835682812502</v>
      </c>
      <c r="I162" s="14">
        <f t="shared" ref="I162:L162" si="81">$H$136*I154</f>
        <v>180.22970261037503</v>
      </c>
      <c r="J162" s="14">
        <f t="shared" si="81"/>
        <v>162.06854966387502</v>
      </c>
      <c r="K162" s="14">
        <f t="shared" si="81"/>
        <v>145.88143508112501</v>
      </c>
      <c r="L162" s="14">
        <f t="shared" si="81"/>
        <v>131.27355118937501</v>
      </c>
    </row>
    <row r="163" spans="2:12" x14ac:dyDescent="0.2">
      <c r="B163" s="12" t="s">
        <v>143</v>
      </c>
      <c r="H163" s="14"/>
      <c r="I163" s="14">
        <f>$I$136*I155</f>
        <v>164.12868970093749</v>
      </c>
      <c r="J163" s="14">
        <f t="shared" ref="J163:L163" si="82">$I$136*J155</f>
        <v>171.25656422509249</v>
      </c>
      <c r="K163" s="14">
        <f t="shared" si="82"/>
        <v>153.99960485082249</v>
      </c>
      <c r="L163" s="14">
        <f t="shared" si="82"/>
        <v>138.61840193027749</v>
      </c>
    </row>
    <row r="164" spans="2:12" x14ac:dyDescent="0.2">
      <c r="B164" s="12" t="s">
        <v>144</v>
      </c>
      <c r="H164" s="14"/>
      <c r="I164" s="14"/>
      <c r="J164" s="14">
        <f>$J$136*J156</f>
        <v>154.1317604191531</v>
      </c>
      <c r="K164" s="14">
        <f t="shared" ref="K164:L164" si="83">$J$136*K156</f>
        <v>160.82548258592777</v>
      </c>
      <c r="L164" s="14">
        <f t="shared" si="83"/>
        <v>144.61962891899967</v>
      </c>
    </row>
    <row r="165" spans="2:12" x14ac:dyDescent="0.2">
      <c r="B165" s="12" t="s">
        <v>145</v>
      </c>
      <c r="H165" s="14"/>
      <c r="I165" s="14"/>
      <c r="J165" s="14"/>
      <c r="K165" s="14">
        <f>$K$136*K157</f>
        <v>160.29703083591923</v>
      </c>
      <c r="L165" s="14">
        <f>$K$136*L157</f>
        <v>167.25850188936488</v>
      </c>
    </row>
    <row r="166" spans="2:12" x14ac:dyDescent="0.2">
      <c r="B166" s="12" t="s">
        <v>146</v>
      </c>
      <c r="H166" s="14"/>
      <c r="I166" s="14"/>
      <c r="J166" s="14"/>
      <c r="K166" s="14"/>
      <c r="L166" s="14">
        <f>$L$136*L158</f>
        <v>166.70891206935602</v>
      </c>
    </row>
    <row r="167" spans="2:12" ht="12.75" thickBot="1" x14ac:dyDescent="0.25">
      <c r="B167" s="35" t="s">
        <v>150</v>
      </c>
      <c r="H167" s="37">
        <f>SUM(H161:H166)</f>
        <v>1717.3658568281248</v>
      </c>
      <c r="I167" s="37">
        <f>SUM(I161:I166)</f>
        <v>1956.0772923113125</v>
      </c>
      <c r="J167" s="37">
        <f>SUM(J161:J166)</f>
        <v>1936.7681743081207</v>
      </c>
      <c r="K167" s="37">
        <f>SUM(K161:K166)</f>
        <v>1925.5602533537945</v>
      </c>
      <c r="L167" s="37">
        <f>SUM(L161:L166)</f>
        <v>1922.4034959973733</v>
      </c>
    </row>
    <row r="168" spans="2:12" ht="12.75" thickTop="1" x14ac:dyDescent="0.2"/>
    <row r="169" spans="2:12" x14ac:dyDescent="0.2">
      <c r="B169" s="35" t="s">
        <v>151</v>
      </c>
      <c r="H169" s="14">
        <f>H167-H149</f>
        <v>33.586140459943181</v>
      </c>
      <c r="I169" s="14">
        <f t="shared" ref="I169:L169" si="84">I167-I149</f>
        <v>197.2673177941308</v>
      </c>
      <c r="J169" s="14">
        <f t="shared" si="84"/>
        <v>107.49796645646893</v>
      </c>
      <c r="K169" s="14">
        <f t="shared" si="84"/>
        <v>23.011402834293904</v>
      </c>
      <c r="L169" s="14">
        <f t="shared" si="84"/>
        <v>-56.35514289669004</v>
      </c>
    </row>
    <row r="170" spans="2:12" x14ac:dyDescent="0.2">
      <c r="B170" s="12" t="s">
        <v>152</v>
      </c>
      <c r="H170" s="16">
        <f>H22</f>
        <v>0.25195849839723211</v>
      </c>
      <c r="I170" s="16">
        <f>I22</f>
        <v>0.25195849839723211</v>
      </c>
      <c r="J170" s="16">
        <f>J22</f>
        <v>0.25195849839723211</v>
      </c>
      <c r="K170" s="16">
        <f>K22</f>
        <v>0.25195849839723211</v>
      </c>
      <c r="L170" s="16">
        <f>L22</f>
        <v>0.25195849839723211</v>
      </c>
    </row>
    <row r="171" spans="2:12" x14ac:dyDescent="0.2">
      <c r="B171" s="6" t="s">
        <v>153</v>
      </c>
      <c r="H171" s="14">
        <f>H169*H170</f>
        <v>8.462313517245807</v>
      </c>
      <c r="I171" s="14">
        <f t="shared" ref="I171:L171" si="85">I169*I170</f>
        <v>49.703177174258784</v>
      </c>
      <c r="J171" s="14">
        <f t="shared" si="85"/>
        <v>27.085026209127939</v>
      </c>
      <c r="K171" s="14">
        <f t="shared" si="85"/>
        <v>5.797918504142503</v>
      </c>
      <c r="L171" s="14">
        <f t="shared" si="85"/>
        <v>-14.199157181211465</v>
      </c>
    </row>
    <row r="174" spans="2:12" x14ac:dyDescent="0.2">
      <c r="B174" s="8" t="s">
        <v>112</v>
      </c>
      <c r="C174" s="8"/>
      <c r="D174" s="8"/>
      <c r="E174" s="8"/>
      <c r="F174" s="8"/>
      <c r="G174" s="8"/>
      <c r="H174" s="8"/>
      <c r="I174" s="8"/>
      <c r="J174" s="8"/>
      <c r="K174" s="8"/>
      <c r="L174" s="8"/>
    </row>
    <row r="175" spans="2:12" x14ac:dyDescent="0.2">
      <c r="B175" s="9" t="s">
        <v>32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</row>
    <row r="176" spans="2:12" x14ac:dyDescent="0.2">
      <c r="B176" s="12" t="s">
        <v>35</v>
      </c>
      <c r="C176" s="13">
        <f>C37</f>
        <v>13179</v>
      </c>
      <c r="D176" s="13">
        <f>D37</f>
        <v>16193</v>
      </c>
      <c r="E176" s="13">
        <f>E37</f>
        <v>17605</v>
      </c>
      <c r="F176" s="13">
        <f>F37</f>
        <v>18532</v>
      </c>
      <c r="G176" s="13">
        <f>G37</f>
        <v>16894</v>
      </c>
      <c r="H176" s="14">
        <f>(G177/365)*H12</f>
        <v>17172.396512223248</v>
      </c>
      <c r="I176" s="14">
        <f>(H177/365)*I12</f>
        <v>17420.801911834475</v>
      </c>
      <c r="J176" s="14">
        <f>(I177/365)*J12</f>
        <v>17982.127193029817</v>
      </c>
      <c r="K176" s="14">
        <f>(J177/365)*K12</f>
        <v>18687.308651580002</v>
      </c>
      <c r="L176" s="14">
        <f>(K177/365)*L12</f>
        <v>19434.800997643204</v>
      </c>
    </row>
    <row r="177" spans="2:12" x14ac:dyDescent="0.2">
      <c r="B177" s="15" t="s">
        <v>154</v>
      </c>
      <c r="G177" s="30">
        <f>AVERAGE(F176:G176)/G12*365</f>
        <v>112.37455025811273</v>
      </c>
      <c r="H177" s="32">
        <v>112.4</v>
      </c>
      <c r="I177" s="32">
        <v>112.4</v>
      </c>
      <c r="J177" s="32">
        <v>112.4</v>
      </c>
      <c r="K177" s="32">
        <v>112.4</v>
      </c>
      <c r="L177" s="32">
        <v>112.4</v>
      </c>
    </row>
    <row r="178" spans="2:12" x14ac:dyDescent="0.2">
      <c r="B178" s="12" t="s">
        <v>78</v>
      </c>
      <c r="C178" s="13">
        <f>C38</f>
        <v>1263</v>
      </c>
      <c r="D178" s="13">
        <f>D38</f>
        <v>937</v>
      </c>
      <c r="E178" s="13">
        <f>E38</f>
        <v>1051</v>
      </c>
      <c r="F178" s="13">
        <f>F38</f>
        <v>1178</v>
      </c>
      <c r="G178" s="13">
        <f>G38</f>
        <v>949</v>
      </c>
      <c r="H178" s="14">
        <f>(G179/365)*H11</f>
        <v>1034.2537500000001</v>
      </c>
      <c r="I178" s="14">
        <f>(H179/365)*I11</f>
        <v>1051.1711135445205</v>
      </c>
      <c r="J178" s="14">
        <f>(I179/365)*J11</f>
        <v>1085.8597602914897</v>
      </c>
      <c r="K178" s="14">
        <f>(J179/365)*K11</f>
        <v>1129.2941507031492</v>
      </c>
      <c r="L178" s="14">
        <f>(K179/365)*L11</f>
        <v>1174.4659167312752</v>
      </c>
    </row>
    <row r="179" spans="2:12" x14ac:dyDescent="0.2">
      <c r="B179" s="15" t="s">
        <v>155</v>
      </c>
      <c r="G179" s="30">
        <f>AVERAGE(F178:G178)/G11*365</f>
        <v>4.4939914560589047</v>
      </c>
      <c r="H179" s="32">
        <v>4.5</v>
      </c>
      <c r="I179" s="32">
        <v>4.5</v>
      </c>
      <c r="J179" s="32">
        <v>4.5</v>
      </c>
      <c r="K179" s="32">
        <v>4.5</v>
      </c>
      <c r="L179" s="32">
        <v>4.5</v>
      </c>
    </row>
    <row r="180" spans="2:12" x14ac:dyDescent="0.2">
      <c r="B180" s="38" t="s">
        <v>37</v>
      </c>
      <c r="C180" s="36">
        <f>C176+C178</f>
        <v>14442</v>
      </c>
      <c r="D180" s="36">
        <f t="shared" ref="D180:L180" si="86">D176+D178</f>
        <v>17130</v>
      </c>
      <c r="E180" s="36">
        <f t="shared" si="86"/>
        <v>18656</v>
      </c>
      <c r="F180" s="36">
        <f t="shared" si="86"/>
        <v>19710</v>
      </c>
      <c r="G180" s="36">
        <f t="shared" si="86"/>
        <v>17843</v>
      </c>
      <c r="H180" s="36">
        <f t="shared" si="86"/>
        <v>18206.650262223247</v>
      </c>
      <c r="I180" s="36">
        <f t="shared" si="86"/>
        <v>18471.973025378997</v>
      </c>
      <c r="J180" s="36">
        <f t="shared" si="86"/>
        <v>19067.986953321306</v>
      </c>
      <c r="K180" s="36">
        <f t="shared" si="86"/>
        <v>19816.602802283152</v>
      </c>
      <c r="L180" s="36">
        <f t="shared" si="86"/>
        <v>20609.266914374479</v>
      </c>
    </row>
    <row r="181" spans="2:12" x14ac:dyDescent="0.2">
      <c r="B181" s="15"/>
    </row>
    <row r="182" spans="2:12" x14ac:dyDescent="0.2">
      <c r="B182" s="9" t="s">
        <v>45</v>
      </c>
      <c r="C182" s="9"/>
      <c r="D182" s="9"/>
      <c r="E182" s="9"/>
      <c r="F182" s="9"/>
      <c r="G182" s="9"/>
      <c r="H182" s="9"/>
      <c r="I182" s="9"/>
      <c r="J182" s="9"/>
      <c r="K182" s="9"/>
      <c r="L182" s="9"/>
    </row>
    <row r="183" spans="2:12" x14ac:dyDescent="0.2">
      <c r="B183" s="12" t="s">
        <v>49</v>
      </c>
      <c r="C183" s="13">
        <f>C52</f>
        <v>7659</v>
      </c>
      <c r="D183" s="13">
        <f>D52</f>
        <v>10884</v>
      </c>
      <c r="E183" s="13">
        <f>E52</f>
        <v>11354</v>
      </c>
      <c r="F183" s="13">
        <f>F52</f>
        <v>10524</v>
      </c>
      <c r="G183" s="13">
        <f>G52</f>
        <v>8704</v>
      </c>
      <c r="H183" s="14">
        <f>(G184/365)*H12</f>
        <v>9320.5792394577038</v>
      </c>
      <c r="I183" s="14">
        <f>(H184/365)*I12</f>
        <v>9454.3497920098125</v>
      </c>
      <c r="J183" s="14">
        <f>(I184/365)*J12</f>
        <v>9758.9836189930484</v>
      </c>
      <c r="K183" s="14">
        <f>(J184/365)*K12</f>
        <v>10141.688858953559</v>
      </c>
      <c r="L183" s="14">
        <f>(K184/365)*L12</f>
        <v>10547.356413311703</v>
      </c>
    </row>
    <row r="184" spans="2:12" x14ac:dyDescent="0.2">
      <c r="B184" s="15" t="s">
        <v>156</v>
      </c>
      <c r="G184" s="30">
        <f>AVERAGE(F183:G183)/G12*365</f>
        <v>60.992995324422502</v>
      </c>
      <c r="H184" s="32">
        <v>61</v>
      </c>
      <c r="I184" s="32">
        <v>61</v>
      </c>
      <c r="J184" s="32">
        <v>61</v>
      </c>
      <c r="K184" s="32">
        <v>61</v>
      </c>
      <c r="L184" s="32">
        <v>61</v>
      </c>
    </row>
    <row r="185" spans="2:12" x14ac:dyDescent="0.2">
      <c r="B185" s="12" t="s">
        <v>51</v>
      </c>
      <c r="C185" s="13">
        <f>C54</f>
        <v>1219</v>
      </c>
      <c r="D185" s="13">
        <f>D54</f>
        <v>1608</v>
      </c>
      <c r="E185" s="13">
        <f>E54</f>
        <v>1914</v>
      </c>
      <c r="F185" s="13">
        <f>F54</f>
        <v>1603</v>
      </c>
      <c r="G185" s="13">
        <f>G54</f>
        <v>1408</v>
      </c>
      <c r="H185" s="14">
        <f>(G186/365)*H11</f>
        <v>1464.0987500000001</v>
      </c>
      <c r="I185" s="14">
        <f>(H186/365)*I11</f>
        <v>1494.9989170410961</v>
      </c>
      <c r="J185" s="14">
        <f>(I186/365)*J11</f>
        <v>1544.333881303452</v>
      </c>
      <c r="K185" s="14">
        <f>(J186/365)*K11</f>
        <v>1606.1072365555901</v>
      </c>
      <c r="L185" s="14">
        <f>(K186/365)*L11</f>
        <v>1670.351526017814</v>
      </c>
    </row>
    <row r="186" spans="2:12" x14ac:dyDescent="0.2">
      <c r="B186" s="15" t="s">
        <v>156</v>
      </c>
      <c r="G186" s="30">
        <f>AVERAGE(F185:G185)/G11*365</f>
        <v>6.3617340264190707</v>
      </c>
      <c r="H186" s="32">
        <v>6.4</v>
      </c>
      <c r="I186" s="32">
        <v>6.4</v>
      </c>
      <c r="J186" s="32">
        <v>6.4</v>
      </c>
      <c r="K186" s="32">
        <v>6.4</v>
      </c>
      <c r="L186" s="32">
        <v>6.4</v>
      </c>
    </row>
    <row r="187" spans="2:12" x14ac:dyDescent="0.2">
      <c r="B187" s="12" t="s">
        <v>79</v>
      </c>
      <c r="C187" s="13">
        <f>C56</f>
        <v>2581</v>
      </c>
      <c r="D187" s="13">
        <f>D56</f>
        <v>3235</v>
      </c>
      <c r="E187" s="13">
        <f>E56</f>
        <v>3207</v>
      </c>
      <c r="F187" s="13">
        <f>F56</f>
        <v>3488</v>
      </c>
      <c r="G187" s="13">
        <f>G56</f>
        <v>3445</v>
      </c>
      <c r="H187" s="14">
        <f>(G188/365)*H12</f>
        <v>3360.7018861639417</v>
      </c>
      <c r="I187" s="14">
        <f>(H188/365)*I12</f>
        <v>3409.765498757637</v>
      </c>
      <c r="J187" s="14">
        <f>(I188/365)*J12</f>
        <v>3519.6334363581486</v>
      </c>
      <c r="K187" s="14">
        <f>(J188/365)*K12</f>
        <v>3657.6582769996444</v>
      </c>
      <c r="L187" s="14">
        <f>(K188/365)*L12</f>
        <v>3803.9646080796306</v>
      </c>
    </row>
    <row r="188" spans="2:12" x14ac:dyDescent="0.2">
      <c r="B188" s="15" t="s">
        <v>156</v>
      </c>
      <c r="G188" s="30">
        <f>AVERAGE(F187:G187)/G12*365</f>
        <v>21.992117567309197</v>
      </c>
      <c r="H188" s="32">
        <v>22</v>
      </c>
      <c r="I188" s="32">
        <v>22</v>
      </c>
      <c r="J188" s="32">
        <v>22</v>
      </c>
      <c r="K188" s="32">
        <v>22</v>
      </c>
      <c r="L188" s="32">
        <v>22</v>
      </c>
    </row>
    <row r="189" spans="2:12" x14ac:dyDescent="0.2">
      <c r="B189" s="12" t="s">
        <v>52</v>
      </c>
      <c r="C189" s="13">
        <f>C55</f>
        <v>0</v>
      </c>
      <c r="D189" s="13">
        <f>D55</f>
        <v>0</v>
      </c>
      <c r="E189" s="13">
        <f>E55</f>
        <v>128</v>
      </c>
      <c r="F189" s="13">
        <f>F55</f>
        <v>1181</v>
      </c>
      <c r="G189" s="13">
        <f>G55</f>
        <v>33</v>
      </c>
      <c r="H189" s="14">
        <f>(G190/365)*H21</f>
        <v>523.27506270350818</v>
      </c>
      <c r="I189" s="14">
        <f>(H190/365)*I21</f>
        <v>534.9080038388671</v>
      </c>
      <c r="J189" s="14">
        <f>(I190/365)*J21</f>
        <v>559.71868260809197</v>
      </c>
      <c r="K189" s="14">
        <f>(J190/365)*K21</f>
        <v>590.14943646493339</v>
      </c>
      <c r="L189" s="14">
        <f>(K190/365)*L21</f>
        <v>618.80657080032222</v>
      </c>
    </row>
    <row r="190" spans="2:12" x14ac:dyDescent="0.2">
      <c r="B190" s="15" t="s">
        <v>156</v>
      </c>
      <c r="G190" s="30">
        <f>AVERAGE(F189:G189)/G21*365</f>
        <v>90.467537770518575</v>
      </c>
      <c r="H190" s="32">
        <v>90.5</v>
      </c>
      <c r="I190" s="32">
        <v>90.5</v>
      </c>
      <c r="J190" s="32">
        <v>90.5</v>
      </c>
      <c r="K190" s="32">
        <v>90.5</v>
      </c>
      <c r="L190" s="32">
        <v>90.5</v>
      </c>
    </row>
    <row r="191" spans="2:12" x14ac:dyDescent="0.2">
      <c r="B191" s="38" t="s">
        <v>54</v>
      </c>
      <c r="C191" s="36">
        <f>C183+C185+C187+C189</f>
        <v>11459</v>
      </c>
      <c r="D191" s="36">
        <f t="shared" ref="D191:L191" si="87">D183+D185+D187+D189</f>
        <v>15727</v>
      </c>
      <c r="E191" s="36">
        <f t="shared" si="87"/>
        <v>16603</v>
      </c>
      <c r="F191" s="36">
        <f t="shared" si="87"/>
        <v>16796</v>
      </c>
      <c r="G191" s="36">
        <f t="shared" si="87"/>
        <v>13590</v>
      </c>
      <c r="H191" s="36">
        <f t="shared" si="87"/>
        <v>14668.654938325153</v>
      </c>
      <c r="I191" s="36">
        <f t="shared" si="87"/>
        <v>14894.022211647412</v>
      </c>
      <c r="J191" s="36">
        <f t="shared" si="87"/>
        <v>15382.669619262741</v>
      </c>
      <c r="K191" s="36">
        <f t="shared" si="87"/>
        <v>15995.603808973727</v>
      </c>
      <c r="L191" s="36">
        <f t="shared" si="87"/>
        <v>16640.47911820947</v>
      </c>
    </row>
    <row r="193" spans="2:12" x14ac:dyDescent="0.2">
      <c r="B193" s="9" t="s">
        <v>157</v>
      </c>
      <c r="C193" s="27">
        <f>C180-C191</f>
        <v>2983</v>
      </c>
      <c r="D193" s="27">
        <f t="shared" ref="D193:L193" si="88">D180-D191</f>
        <v>1403</v>
      </c>
      <c r="E193" s="27">
        <f t="shared" si="88"/>
        <v>2053</v>
      </c>
      <c r="F193" s="27">
        <f t="shared" si="88"/>
        <v>2914</v>
      </c>
      <c r="G193" s="27">
        <f t="shared" si="88"/>
        <v>4253</v>
      </c>
      <c r="H193" s="27">
        <f t="shared" si="88"/>
        <v>3537.9953238980943</v>
      </c>
      <c r="I193" s="27">
        <f t="shared" si="88"/>
        <v>3577.9508137315843</v>
      </c>
      <c r="J193" s="27">
        <f t="shared" si="88"/>
        <v>3685.3173340585654</v>
      </c>
      <c r="K193" s="27">
        <f t="shared" si="88"/>
        <v>3820.9989933094257</v>
      </c>
      <c r="L193" s="27">
        <f t="shared" si="88"/>
        <v>3968.7877961650083</v>
      </c>
    </row>
    <row r="194" spans="2:12" x14ac:dyDescent="0.2">
      <c r="B194" s="15" t="s">
        <v>158</v>
      </c>
      <c r="D194" s="14">
        <f>D193-C193</f>
        <v>-1580</v>
      </c>
      <c r="E194" s="14">
        <f t="shared" ref="E194:L194" si="89">E193-D193</f>
        <v>650</v>
      </c>
      <c r="F194" s="14">
        <f t="shared" si="89"/>
        <v>861</v>
      </c>
      <c r="G194" s="14">
        <f t="shared" si="89"/>
        <v>1339</v>
      </c>
      <c r="H194" s="14">
        <f t="shared" si="89"/>
        <v>-715.00467610190572</v>
      </c>
      <c r="I194" s="14">
        <f t="shared" si="89"/>
        <v>39.955489833489992</v>
      </c>
      <c r="J194" s="14">
        <f t="shared" si="89"/>
        <v>107.36652032698112</v>
      </c>
      <c r="K194" s="14">
        <f t="shared" si="89"/>
        <v>135.68165925086032</v>
      </c>
      <c r="L194" s="14">
        <f t="shared" si="89"/>
        <v>147.78880285558262</v>
      </c>
    </row>
    <row r="195" spans="2:12" x14ac:dyDescent="0.2">
      <c r="B195" s="15"/>
      <c r="D195" s="14"/>
      <c r="E195" s="14"/>
      <c r="F195" s="14"/>
      <c r="G195" s="14"/>
      <c r="H195" s="14"/>
      <c r="I195" s="14"/>
      <c r="J195" s="14"/>
      <c r="K195" s="14"/>
      <c r="L195" s="14"/>
    </row>
    <row r="196" spans="2:12" x14ac:dyDescent="0.2">
      <c r="B196" s="23" t="s">
        <v>159</v>
      </c>
      <c r="D196" s="14"/>
      <c r="E196" s="14"/>
      <c r="F196" s="14"/>
      <c r="G196" s="14"/>
      <c r="H196" s="39" t="str">
        <f>IF(ROUND(-H194-H98,1)=0, "Y", "N")</f>
        <v>Y</v>
      </c>
      <c r="I196" s="39" t="str">
        <f t="shared" ref="I196:L196" si="90">IF(ROUND(-I194-I98,1)=0, "Y", "N")</f>
        <v>Y</v>
      </c>
      <c r="J196" s="39" t="str">
        <f t="shared" si="90"/>
        <v>Y</v>
      </c>
      <c r="K196" s="39" t="str">
        <f t="shared" si="90"/>
        <v>Y</v>
      </c>
      <c r="L196" s="39" t="str">
        <f t="shared" si="90"/>
        <v>Y</v>
      </c>
    </row>
    <row r="197" spans="2:12" x14ac:dyDescent="0.2">
      <c r="B197" s="23"/>
      <c r="D197" s="14"/>
      <c r="E197" s="14"/>
      <c r="F197" s="14"/>
      <c r="G197" s="14"/>
      <c r="H197" s="14"/>
      <c r="I197" s="14"/>
      <c r="J197" s="14"/>
      <c r="K197" s="14"/>
      <c r="L197" s="14"/>
    </row>
    <row r="198" spans="2:12" x14ac:dyDescent="0.2">
      <c r="B198" s="23"/>
      <c r="D198" s="14"/>
      <c r="E198" s="14"/>
      <c r="F198" s="14"/>
      <c r="G198" s="14"/>
      <c r="H198" s="14"/>
      <c r="I198" s="14"/>
      <c r="J198" s="14"/>
      <c r="K198" s="14"/>
      <c r="L198" s="14"/>
    </row>
    <row r="200" spans="2:12" x14ac:dyDescent="0.2">
      <c r="B200" s="8" t="s">
        <v>113</v>
      </c>
      <c r="C200" s="8"/>
      <c r="D200" s="8"/>
      <c r="E200" s="8"/>
      <c r="F200" s="8"/>
      <c r="G200" s="8"/>
      <c r="H200" s="8"/>
      <c r="I200" s="8"/>
      <c r="J200" s="8"/>
      <c r="K200" s="8"/>
      <c r="L200" s="8"/>
    </row>
    <row r="202" spans="2:12" x14ac:dyDescent="0.2">
      <c r="B202" s="6" t="s">
        <v>161</v>
      </c>
    </row>
    <row r="203" spans="2:12" x14ac:dyDescent="0.2">
      <c r="B203" s="12" t="s">
        <v>163</v>
      </c>
      <c r="H203" s="14">
        <f>G265</f>
        <v>921</v>
      </c>
      <c r="I203" s="14">
        <f t="shared" ref="I203:L203" si="91">H265</f>
        <v>1011.0883518232874</v>
      </c>
      <c r="J203" s="14">
        <f t="shared" si="91"/>
        <v>600.38649147774981</v>
      </c>
      <c r="K203" s="14">
        <f t="shared" si="91"/>
        <v>539.78755029818444</v>
      </c>
      <c r="L203" s="14">
        <f t="shared" si="91"/>
        <v>743.63569823977923</v>
      </c>
    </row>
    <row r="204" spans="2:12" x14ac:dyDescent="0.2">
      <c r="B204" s="12" t="s">
        <v>162</v>
      </c>
      <c r="H204" s="14">
        <f>H128</f>
        <v>90.088351823287383</v>
      </c>
      <c r="I204" s="14">
        <f t="shared" ref="I204:L204" si="92">I128</f>
        <v>-410.70186034553757</v>
      </c>
      <c r="J204" s="14">
        <f t="shared" si="92"/>
        <v>-60.598941179565358</v>
      </c>
      <c r="K204" s="14">
        <f t="shared" si="92"/>
        <v>203.84814794159482</v>
      </c>
      <c r="L204" s="14">
        <f t="shared" si="92"/>
        <v>497.06822764316439</v>
      </c>
    </row>
    <row r="205" spans="2:12" x14ac:dyDescent="0.2">
      <c r="B205" s="12" t="s">
        <v>164</v>
      </c>
      <c r="C205" s="43"/>
      <c r="D205" s="43"/>
      <c r="E205" s="43"/>
      <c r="F205" s="43"/>
      <c r="G205" s="43"/>
      <c r="H205" s="46">
        <v>-1000</v>
      </c>
      <c r="I205" s="46">
        <v>-1000</v>
      </c>
      <c r="J205" s="46">
        <v>-1000</v>
      </c>
      <c r="K205" s="46">
        <v>-1000</v>
      </c>
      <c r="L205" s="46">
        <v>-1000</v>
      </c>
    </row>
    <row r="206" spans="2:12" x14ac:dyDescent="0.2">
      <c r="B206" s="6" t="s">
        <v>165</v>
      </c>
      <c r="H206" s="14">
        <f>SUM(H203:H205)</f>
        <v>11.088351823287439</v>
      </c>
      <c r="I206" s="14">
        <f t="shared" ref="I206:L206" si="93">SUM(I203:I205)</f>
        <v>-399.61350852225019</v>
      </c>
      <c r="J206" s="14">
        <f t="shared" si="93"/>
        <v>-460.21244970181556</v>
      </c>
      <c r="K206" s="14">
        <f t="shared" si="93"/>
        <v>-256.36430176022077</v>
      </c>
      <c r="L206" s="14">
        <f t="shared" si="93"/>
        <v>240.70392588294362</v>
      </c>
    </row>
    <row r="208" spans="2:12" x14ac:dyDescent="0.2">
      <c r="B208" s="6" t="s">
        <v>39</v>
      </c>
    </row>
    <row r="209" spans="2:12" x14ac:dyDescent="0.2">
      <c r="B209" s="12" t="s">
        <v>167</v>
      </c>
      <c r="D209" s="12"/>
      <c r="H209" s="14">
        <f>G212</f>
        <v>3733</v>
      </c>
      <c r="I209" s="14">
        <f>H212</f>
        <v>3733</v>
      </c>
      <c r="J209" s="14">
        <f t="shared" ref="J209:L209" si="94">I212</f>
        <v>3733</v>
      </c>
      <c r="K209" s="14">
        <f t="shared" si="94"/>
        <v>3733</v>
      </c>
      <c r="L209" s="14">
        <f t="shared" si="94"/>
        <v>3733</v>
      </c>
    </row>
    <row r="210" spans="2:12" x14ac:dyDescent="0.2">
      <c r="B210" s="12" t="s">
        <v>168</v>
      </c>
      <c r="D210" s="12"/>
      <c r="H210" s="13">
        <v>0</v>
      </c>
      <c r="I210" s="13">
        <v>0</v>
      </c>
      <c r="J210" s="13">
        <v>0</v>
      </c>
      <c r="K210" s="13">
        <v>0</v>
      </c>
      <c r="L210" s="13">
        <v>0</v>
      </c>
    </row>
    <row r="211" spans="2:12" x14ac:dyDescent="0.2">
      <c r="B211" s="12" t="s">
        <v>169</v>
      </c>
      <c r="C211" s="43"/>
      <c r="D211" s="44"/>
      <c r="E211" s="43"/>
      <c r="F211" s="43"/>
      <c r="G211" s="43"/>
      <c r="H211" s="46">
        <v>0</v>
      </c>
      <c r="I211" s="46">
        <v>0</v>
      </c>
      <c r="J211" s="46">
        <v>0</v>
      </c>
      <c r="K211" s="46">
        <v>0</v>
      </c>
      <c r="L211" s="46">
        <v>0</v>
      </c>
    </row>
    <row r="212" spans="2:12" x14ac:dyDescent="0.2">
      <c r="B212" s="6" t="s">
        <v>170</v>
      </c>
      <c r="D212" s="12"/>
      <c r="G212" s="14">
        <f>G41</f>
        <v>3733</v>
      </c>
      <c r="H212" s="14">
        <f>SUM(H209:H211)</f>
        <v>3733</v>
      </c>
      <c r="I212" s="14">
        <f t="shared" ref="I212:L212" si="95">SUM(I209:I211)</f>
        <v>3733</v>
      </c>
      <c r="J212" s="14">
        <f t="shared" si="95"/>
        <v>3733</v>
      </c>
      <c r="K212" s="14">
        <f t="shared" si="95"/>
        <v>3733</v>
      </c>
      <c r="L212" s="14">
        <f t="shared" si="95"/>
        <v>3733</v>
      </c>
    </row>
    <row r="213" spans="2:12" x14ac:dyDescent="0.2">
      <c r="B213" s="15" t="s">
        <v>171</v>
      </c>
      <c r="D213" s="12"/>
      <c r="H213" s="14">
        <f>AVERAGE(H209,H212)*H214</f>
        <v>141.85399999999998</v>
      </c>
      <c r="I213" s="14">
        <f t="shared" ref="I213:L213" si="96">AVERAGE(I209,I212)*I214</f>
        <v>141.85399999999998</v>
      </c>
      <c r="J213" s="14">
        <f t="shared" si="96"/>
        <v>141.85399999999998</v>
      </c>
      <c r="K213" s="14">
        <f t="shared" si="96"/>
        <v>141.85399999999998</v>
      </c>
      <c r="L213" s="14">
        <f t="shared" si="96"/>
        <v>141.85399999999998</v>
      </c>
    </row>
    <row r="214" spans="2:12" x14ac:dyDescent="0.2">
      <c r="B214" s="42" t="s">
        <v>172</v>
      </c>
      <c r="D214" s="12"/>
      <c r="G214" s="31">
        <v>3.7999999999999999E-2</v>
      </c>
      <c r="H214" s="31">
        <v>3.7999999999999999E-2</v>
      </c>
      <c r="I214" s="31">
        <v>3.7999999999999999E-2</v>
      </c>
      <c r="J214" s="31">
        <v>3.7999999999999999E-2</v>
      </c>
      <c r="K214" s="31">
        <v>3.7999999999999999E-2</v>
      </c>
      <c r="L214" s="31">
        <v>3.7999999999999999E-2</v>
      </c>
    </row>
    <row r="215" spans="2:12" x14ac:dyDescent="0.2">
      <c r="D215" s="12"/>
    </row>
    <row r="216" spans="2:12" x14ac:dyDescent="0.2">
      <c r="D216" s="12"/>
    </row>
    <row r="217" spans="2:12" x14ac:dyDescent="0.2">
      <c r="B217" s="6" t="s">
        <v>166</v>
      </c>
      <c r="D217" s="6"/>
    </row>
    <row r="218" spans="2:12" x14ac:dyDescent="0.2">
      <c r="B218" s="12" t="s">
        <v>173</v>
      </c>
      <c r="D218" s="15"/>
      <c r="H218" s="14">
        <f>G221</f>
        <v>0</v>
      </c>
      <c r="I218" s="14">
        <f>H221</f>
        <v>0</v>
      </c>
      <c r="J218" s="14">
        <f t="shared" ref="J218:L218" si="97">I221</f>
        <v>0</v>
      </c>
      <c r="K218" s="14">
        <f t="shared" si="97"/>
        <v>0</v>
      </c>
      <c r="L218" s="14">
        <f t="shared" si="97"/>
        <v>0</v>
      </c>
    </row>
    <row r="219" spans="2:12" x14ac:dyDescent="0.2">
      <c r="B219" s="12" t="s">
        <v>168</v>
      </c>
      <c r="D219" s="15"/>
      <c r="H219" s="13">
        <v>0</v>
      </c>
      <c r="I219" s="13">
        <v>0</v>
      </c>
      <c r="J219" s="13">
        <v>0</v>
      </c>
      <c r="K219" s="13">
        <v>0</v>
      </c>
      <c r="L219" s="13">
        <v>0</v>
      </c>
    </row>
    <row r="220" spans="2:12" x14ac:dyDescent="0.2">
      <c r="B220" s="12" t="s">
        <v>169</v>
      </c>
      <c r="C220" s="43"/>
      <c r="D220" s="45"/>
      <c r="E220" s="43"/>
      <c r="F220" s="43"/>
      <c r="G220" s="43"/>
      <c r="H220" s="46">
        <v>0</v>
      </c>
      <c r="I220" s="46">
        <v>0</v>
      </c>
      <c r="J220" s="46">
        <v>0</v>
      </c>
      <c r="K220" s="46">
        <v>0</v>
      </c>
      <c r="L220" s="46">
        <v>0</v>
      </c>
    </row>
    <row r="221" spans="2:12" x14ac:dyDescent="0.2">
      <c r="B221" s="6" t="s">
        <v>174</v>
      </c>
      <c r="D221" s="15"/>
      <c r="G221" s="14">
        <f>G49</f>
        <v>0</v>
      </c>
      <c r="H221" s="14">
        <f>SUM(H218:H220)</f>
        <v>0</v>
      </c>
      <c r="I221" s="14">
        <f t="shared" ref="I221:L221" si="98">SUM(I218:I220)</f>
        <v>0</v>
      </c>
      <c r="J221" s="14">
        <f t="shared" si="98"/>
        <v>0</v>
      </c>
      <c r="K221" s="14">
        <f t="shared" si="98"/>
        <v>0</v>
      </c>
      <c r="L221" s="14">
        <f t="shared" si="98"/>
        <v>0</v>
      </c>
    </row>
    <row r="222" spans="2:12" x14ac:dyDescent="0.2">
      <c r="B222" s="15" t="s">
        <v>171</v>
      </c>
      <c r="D222" s="15"/>
      <c r="H222" s="14">
        <f>AVERAGE(H218,H221)*H223</f>
        <v>0</v>
      </c>
      <c r="I222" s="14">
        <f t="shared" ref="I222:L222" si="99">AVERAGE(I218,I221)*I223</f>
        <v>0</v>
      </c>
      <c r="J222" s="14">
        <f t="shared" si="99"/>
        <v>0</v>
      </c>
      <c r="K222" s="14">
        <f t="shared" si="99"/>
        <v>0</v>
      </c>
      <c r="L222" s="14">
        <f t="shared" si="99"/>
        <v>0</v>
      </c>
    </row>
    <row r="223" spans="2:12" x14ac:dyDescent="0.2">
      <c r="B223" s="42" t="s">
        <v>172</v>
      </c>
      <c r="D223" s="42"/>
      <c r="G223" s="31">
        <v>4.7800000000000002E-2</v>
      </c>
      <c r="H223" s="31">
        <v>4.7800000000000002E-2</v>
      </c>
      <c r="I223" s="31">
        <v>4.7800000000000002E-2</v>
      </c>
      <c r="J223" s="31">
        <v>4.7800000000000002E-2</v>
      </c>
      <c r="K223" s="31">
        <v>4.7800000000000002E-2</v>
      </c>
      <c r="L223" s="31">
        <v>4.7800000000000002E-2</v>
      </c>
    </row>
    <row r="224" spans="2:12" x14ac:dyDescent="0.2">
      <c r="B224" s="42"/>
      <c r="D224" s="42"/>
    </row>
    <row r="226" spans="2:12" x14ac:dyDescent="0.2">
      <c r="B226" s="6" t="s">
        <v>47</v>
      </c>
    </row>
    <row r="227" spans="2:12" x14ac:dyDescent="0.2">
      <c r="B227" s="12" t="s">
        <v>175</v>
      </c>
      <c r="H227" s="14">
        <f>G230</f>
        <v>537</v>
      </c>
      <c r="I227" s="14">
        <f>H230</f>
        <v>537</v>
      </c>
      <c r="J227" s="14">
        <f t="shared" ref="J227:L227" si="100">I230</f>
        <v>537</v>
      </c>
      <c r="K227" s="14">
        <f t="shared" si="100"/>
        <v>537</v>
      </c>
      <c r="L227" s="14">
        <f t="shared" si="100"/>
        <v>537</v>
      </c>
    </row>
    <row r="228" spans="2:12" x14ac:dyDescent="0.2">
      <c r="B228" s="12" t="s">
        <v>168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</row>
    <row r="229" spans="2:12" x14ac:dyDescent="0.2">
      <c r="B229" s="12" t="s">
        <v>169</v>
      </c>
      <c r="C229" s="43"/>
      <c r="D229" s="43"/>
      <c r="E229" s="43"/>
      <c r="F229" s="43"/>
      <c r="G229" s="43"/>
      <c r="H229" s="46">
        <v>0</v>
      </c>
      <c r="I229" s="46">
        <v>0</v>
      </c>
      <c r="J229" s="46">
        <v>0</v>
      </c>
      <c r="K229" s="46">
        <v>0</v>
      </c>
      <c r="L229" s="46">
        <v>0</v>
      </c>
    </row>
    <row r="230" spans="2:12" x14ac:dyDescent="0.2">
      <c r="B230" s="6" t="s">
        <v>176</v>
      </c>
      <c r="G230" s="14">
        <f>G50</f>
        <v>537</v>
      </c>
      <c r="H230" s="14">
        <f>SUM(H227:H229)</f>
        <v>537</v>
      </c>
      <c r="I230" s="14">
        <f t="shared" ref="I230:L230" si="101">SUM(I227:I229)</f>
        <v>537</v>
      </c>
      <c r="J230" s="14">
        <f t="shared" si="101"/>
        <v>537</v>
      </c>
      <c r="K230" s="14">
        <f t="shared" si="101"/>
        <v>537</v>
      </c>
      <c r="L230" s="14">
        <f t="shared" si="101"/>
        <v>537</v>
      </c>
    </row>
    <row r="231" spans="2:12" x14ac:dyDescent="0.2">
      <c r="B231" s="15" t="s">
        <v>171</v>
      </c>
      <c r="H231" s="14">
        <f>AVERAGE(H227,H230)*H232</f>
        <v>25.668600000000001</v>
      </c>
      <c r="I231" s="14">
        <f t="shared" ref="I231:L231" si="102">AVERAGE(I227,I230)*I232</f>
        <v>25.668600000000001</v>
      </c>
      <c r="J231" s="14">
        <f t="shared" si="102"/>
        <v>25.668600000000001</v>
      </c>
      <c r="K231" s="14">
        <f t="shared" si="102"/>
        <v>25.668600000000001</v>
      </c>
      <c r="L231" s="14">
        <f t="shared" si="102"/>
        <v>25.668600000000001</v>
      </c>
    </row>
    <row r="232" spans="2:12" x14ac:dyDescent="0.2">
      <c r="B232" s="42" t="s">
        <v>172</v>
      </c>
      <c r="G232" s="31">
        <v>4.7800000000000002E-2</v>
      </c>
      <c r="H232" s="31">
        <v>4.7800000000000002E-2</v>
      </c>
      <c r="I232" s="31">
        <v>4.7800000000000002E-2</v>
      </c>
      <c r="J232" s="31">
        <v>4.7800000000000002E-2</v>
      </c>
      <c r="K232" s="31">
        <v>4.7800000000000002E-2</v>
      </c>
      <c r="L232" s="31">
        <v>4.7800000000000002E-2</v>
      </c>
    </row>
    <row r="235" spans="2:12" x14ac:dyDescent="0.2">
      <c r="B235" s="6" t="s">
        <v>48</v>
      </c>
    </row>
    <row r="236" spans="2:12" x14ac:dyDescent="0.2">
      <c r="B236" s="12" t="s">
        <v>177</v>
      </c>
      <c r="H236" s="14">
        <f>G239</f>
        <v>487</v>
      </c>
      <c r="I236" s="14">
        <f>H239</f>
        <v>487</v>
      </c>
      <c r="J236" s="14">
        <f t="shared" ref="J236:L236" si="103">I239</f>
        <v>487</v>
      </c>
      <c r="K236" s="14">
        <f t="shared" si="103"/>
        <v>487</v>
      </c>
      <c r="L236" s="14">
        <f t="shared" si="103"/>
        <v>487</v>
      </c>
    </row>
    <row r="237" spans="2:12" x14ac:dyDescent="0.2">
      <c r="B237" s="12" t="s">
        <v>168</v>
      </c>
      <c r="H237" s="13">
        <v>0</v>
      </c>
      <c r="I237" s="13">
        <v>0</v>
      </c>
      <c r="J237" s="13">
        <v>0</v>
      </c>
      <c r="K237" s="13">
        <v>0</v>
      </c>
      <c r="L237" s="13">
        <v>0</v>
      </c>
    </row>
    <row r="238" spans="2:12" x14ac:dyDescent="0.2">
      <c r="B238" s="12" t="s">
        <v>169</v>
      </c>
      <c r="C238" s="43"/>
      <c r="D238" s="43"/>
      <c r="E238" s="43"/>
      <c r="F238" s="43"/>
      <c r="G238" s="43"/>
      <c r="H238" s="46">
        <v>0</v>
      </c>
      <c r="I238" s="46">
        <v>0</v>
      </c>
      <c r="J238" s="46">
        <v>0</v>
      </c>
      <c r="K238" s="46">
        <v>0</v>
      </c>
      <c r="L238" s="46">
        <v>0</v>
      </c>
    </row>
    <row r="239" spans="2:12" x14ac:dyDescent="0.2">
      <c r="B239" s="6" t="s">
        <v>178</v>
      </c>
      <c r="G239" s="14">
        <f>G51</f>
        <v>487</v>
      </c>
      <c r="H239" s="14">
        <f>SUM(H236:H238)</f>
        <v>487</v>
      </c>
      <c r="I239" s="14">
        <f t="shared" ref="I239:L239" si="104">SUM(I236:I238)</f>
        <v>487</v>
      </c>
      <c r="J239" s="14">
        <f t="shared" si="104"/>
        <v>487</v>
      </c>
      <c r="K239" s="14">
        <f t="shared" si="104"/>
        <v>487</v>
      </c>
      <c r="L239" s="14">
        <f t="shared" si="104"/>
        <v>487</v>
      </c>
    </row>
    <row r="240" spans="2:12" x14ac:dyDescent="0.2">
      <c r="B240" s="15" t="s">
        <v>171</v>
      </c>
      <c r="H240" s="14">
        <f>AVERAGE(H236,H239)*H241</f>
        <v>18.506</v>
      </c>
      <c r="I240" s="14">
        <f t="shared" ref="I240:L240" si="105">AVERAGE(I236,I239)*I241</f>
        <v>18.506</v>
      </c>
      <c r="J240" s="14">
        <f t="shared" si="105"/>
        <v>18.506</v>
      </c>
      <c r="K240" s="14">
        <f t="shared" si="105"/>
        <v>18.506</v>
      </c>
      <c r="L240" s="14">
        <f t="shared" si="105"/>
        <v>18.506</v>
      </c>
    </row>
    <row r="241" spans="2:12" x14ac:dyDescent="0.2">
      <c r="B241" s="42" t="s">
        <v>172</v>
      </c>
      <c r="G241" s="31">
        <v>3.7999999999999999E-2</v>
      </c>
      <c r="H241" s="31">
        <v>3.7999999999999999E-2</v>
      </c>
      <c r="I241" s="31">
        <v>3.7999999999999999E-2</v>
      </c>
      <c r="J241" s="31">
        <v>3.7999999999999999E-2</v>
      </c>
      <c r="K241" s="31">
        <v>3.7999999999999999E-2</v>
      </c>
      <c r="L241" s="31">
        <v>3.7999999999999999E-2</v>
      </c>
    </row>
    <row r="242" spans="2:12" x14ac:dyDescent="0.2">
      <c r="B242" s="42"/>
    </row>
    <row r="244" spans="2:12" x14ac:dyDescent="0.2">
      <c r="B244" s="6" t="s">
        <v>55</v>
      </c>
    </row>
    <row r="245" spans="2:12" x14ac:dyDescent="0.2">
      <c r="B245" s="12" t="s">
        <v>179</v>
      </c>
      <c r="H245" s="14">
        <f>G248</f>
        <v>35384</v>
      </c>
      <c r="I245" s="14">
        <f t="shared" ref="I245:L245" si="106">H248</f>
        <v>35384</v>
      </c>
      <c r="J245" s="14">
        <f t="shared" si="106"/>
        <v>35384</v>
      </c>
      <c r="K245" s="14">
        <f t="shared" si="106"/>
        <v>35384</v>
      </c>
      <c r="L245" s="14">
        <f t="shared" si="106"/>
        <v>35384</v>
      </c>
    </row>
    <row r="246" spans="2:12" x14ac:dyDescent="0.2">
      <c r="B246" s="12" t="s">
        <v>168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</row>
    <row r="247" spans="2:12" x14ac:dyDescent="0.2">
      <c r="B247" s="12" t="s">
        <v>169</v>
      </c>
      <c r="C247" s="43"/>
      <c r="D247" s="43"/>
      <c r="E247" s="43"/>
      <c r="F247" s="43"/>
      <c r="G247" s="43"/>
      <c r="H247" s="46">
        <v>0</v>
      </c>
      <c r="I247" s="46">
        <v>0</v>
      </c>
      <c r="J247" s="46">
        <v>0</v>
      </c>
      <c r="K247" s="46">
        <v>0</v>
      </c>
      <c r="L247" s="46">
        <v>0</v>
      </c>
    </row>
    <row r="248" spans="2:12" x14ac:dyDescent="0.2">
      <c r="B248" s="6" t="s">
        <v>180</v>
      </c>
      <c r="G248" s="14">
        <f>G58</f>
        <v>35384</v>
      </c>
      <c r="H248" s="14">
        <f>SUM(H245:H247)</f>
        <v>35384</v>
      </c>
      <c r="I248" s="14">
        <f t="shared" ref="I248:L248" si="107">SUM(I245:I247)</f>
        <v>35384</v>
      </c>
      <c r="J248" s="14">
        <f t="shared" si="107"/>
        <v>35384</v>
      </c>
      <c r="K248" s="14">
        <f t="shared" si="107"/>
        <v>35384</v>
      </c>
      <c r="L248" s="14">
        <f t="shared" si="107"/>
        <v>35384</v>
      </c>
    </row>
    <row r="249" spans="2:12" x14ac:dyDescent="0.2">
      <c r="B249" s="15" t="s">
        <v>171</v>
      </c>
      <c r="H249" s="14">
        <f>AVERAGE(H245,H248)*H250</f>
        <v>1839.9679999999998</v>
      </c>
      <c r="I249" s="14">
        <f t="shared" ref="I249:L249" si="108">AVERAGE(I245,I248)*I250</f>
        <v>1839.9679999999998</v>
      </c>
      <c r="J249" s="14">
        <f t="shared" si="108"/>
        <v>1839.9679999999998</v>
      </c>
      <c r="K249" s="14">
        <f t="shared" si="108"/>
        <v>1839.9679999999998</v>
      </c>
      <c r="L249" s="14">
        <f t="shared" si="108"/>
        <v>1839.9679999999998</v>
      </c>
    </row>
    <row r="250" spans="2:12" x14ac:dyDescent="0.2">
      <c r="B250" s="42" t="s">
        <v>172</v>
      </c>
      <c r="G250" s="31">
        <v>5.1999999999999998E-2</v>
      </c>
      <c r="H250" s="31">
        <v>5.1999999999999998E-2</v>
      </c>
      <c r="I250" s="31">
        <v>5.1999999999999998E-2</v>
      </c>
      <c r="J250" s="31">
        <v>5.1999999999999998E-2</v>
      </c>
      <c r="K250" s="31">
        <v>5.1999999999999998E-2</v>
      </c>
      <c r="L250" s="31">
        <v>5.1999999999999998E-2</v>
      </c>
    </row>
    <row r="251" spans="2:12" x14ac:dyDescent="0.2">
      <c r="B251" s="12"/>
    </row>
    <row r="253" spans="2:12" x14ac:dyDescent="0.2">
      <c r="B253" s="6" t="s">
        <v>56</v>
      </c>
    </row>
    <row r="254" spans="2:12" x14ac:dyDescent="0.2">
      <c r="B254" s="12" t="s">
        <v>181</v>
      </c>
      <c r="H254" s="14">
        <f>G257</f>
        <v>3737</v>
      </c>
      <c r="I254" s="14">
        <f t="shared" ref="I254:L254" si="109">H257</f>
        <v>3737</v>
      </c>
      <c r="J254" s="14">
        <f t="shared" si="109"/>
        <v>3737</v>
      </c>
      <c r="K254" s="14">
        <f t="shared" si="109"/>
        <v>3737</v>
      </c>
      <c r="L254" s="14">
        <f t="shared" si="109"/>
        <v>3737</v>
      </c>
    </row>
    <row r="255" spans="2:12" x14ac:dyDescent="0.2">
      <c r="B255" s="12" t="s">
        <v>168</v>
      </c>
      <c r="H255" s="13">
        <v>0</v>
      </c>
      <c r="I255" s="13">
        <v>0</v>
      </c>
      <c r="J255" s="13">
        <v>0</v>
      </c>
      <c r="K255" s="13">
        <v>0</v>
      </c>
      <c r="L255" s="13">
        <v>0</v>
      </c>
    </row>
    <row r="256" spans="2:12" x14ac:dyDescent="0.2">
      <c r="B256" s="12" t="s">
        <v>169</v>
      </c>
      <c r="C256" s="43"/>
      <c r="D256" s="43"/>
      <c r="E256" s="43"/>
      <c r="F256" s="43"/>
      <c r="G256" s="43"/>
      <c r="H256" s="46">
        <v>0</v>
      </c>
      <c r="I256" s="46">
        <v>0</v>
      </c>
      <c r="J256" s="46">
        <v>0</v>
      </c>
      <c r="K256" s="46">
        <v>0</v>
      </c>
      <c r="L256" s="46">
        <v>0</v>
      </c>
    </row>
    <row r="257" spans="2:12" x14ac:dyDescent="0.2">
      <c r="B257" s="6" t="s">
        <v>182</v>
      </c>
      <c r="G257" s="14">
        <f>G59</f>
        <v>3737</v>
      </c>
      <c r="H257" s="14">
        <f>SUM(H254:H256)</f>
        <v>3737</v>
      </c>
      <c r="I257" s="14">
        <f t="shared" ref="I257:L257" si="110">SUM(I254:I256)</f>
        <v>3737</v>
      </c>
      <c r="J257" s="14">
        <f t="shared" si="110"/>
        <v>3737</v>
      </c>
      <c r="K257" s="14">
        <f t="shared" si="110"/>
        <v>3737</v>
      </c>
      <c r="L257" s="14">
        <f t="shared" si="110"/>
        <v>3737</v>
      </c>
    </row>
    <row r="258" spans="2:12" x14ac:dyDescent="0.2">
      <c r="B258" s="15" t="s">
        <v>171</v>
      </c>
      <c r="H258" s="14">
        <f>AVERAGE(H254,H257)*H259</f>
        <v>153.5907</v>
      </c>
      <c r="I258" s="14">
        <f t="shared" ref="I258:L258" si="111">AVERAGE(I254,I257)*I259</f>
        <v>153.5907</v>
      </c>
      <c r="J258" s="14">
        <f t="shared" si="111"/>
        <v>153.5907</v>
      </c>
      <c r="K258" s="14">
        <f t="shared" si="111"/>
        <v>153.5907</v>
      </c>
      <c r="L258" s="14">
        <f t="shared" si="111"/>
        <v>153.5907</v>
      </c>
    </row>
    <row r="259" spans="2:12" x14ac:dyDescent="0.2">
      <c r="B259" s="42" t="s">
        <v>172</v>
      </c>
      <c r="G259" s="31">
        <v>4.1099999999999998E-2</v>
      </c>
      <c r="H259" s="31">
        <v>4.1099999999999998E-2</v>
      </c>
      <c r="I259" s="31">
        <v>4.1099999999999998E-2</v>
      </c>
      <c r="J259" s="31">
        <v>4.1099999999999998E-2</v>
      </c>
      <c r="K259" s="31">
        <v>4.1099999999999998E-2</v>
      </c>
      <c r="L259" s="31">
        <v>4.1099999999999998E-2</v>
      </c>
    </row>
    <row r="262" spans="2:12" x14ac:dyDescent="0.2">
      <c r="B262" s="6" t="s">
        <v>183</v>
      </c>
      <c r="C262" s="43"/>
      <c r="D262" s="43"/>
      <c r="E262" s="43"/>
      <c r="F262" s="43"/>
      <c r="G262" s="43"/>
      <c r="H262" s="28">
        <f>H210+H211+H219+H220+H228+H229+H237+H238+H246+H247+H255+H256</f>
        <v>0</v>
      </c>
      <c r="I262" s="28">
        <f t="shared" ref="I262:L262" si="112">I210+I211+I219+I220+I228+I229+I237+I238+I246+I247+I255+I256</f>
        <v>0</v>
      </c>
      <c r="J262" s="28">
        <f t="shared" si="112"/>
        <v>0</v>
      </c>
      <c r="K262" s="28">
        <f t="shared" si="112"/>
        <v>0</v>
      </c>
      <c r="L262" s="28">
        <f t="shared" si="112"/>
        <v>0</v>
      </c>
    </row>
    <row r="263" spans="2:12" ht="15" x14ac:dyDescent="0.25">
      <c r="B263"/>
    </row>
    <row r="264" spans="2:12" x14ac:dyDescent="0.2">
      <c r="B264" s="6" t="s">
        <v>184</v>
      </c>
      <c r="C264" s="43"/>
      <c r="D264" s="43"/>
      <c r="E264" s="43"/>
      <c r="F264" s="43"/>
      <c r="G264" s="43"/>
      <c r="H264" s="28">
        <f>H213+H222+H231+H240+H249+H258</f>
        <v>2179.5873000000001</v>
      </c>
      <c r="I264" s="28">
        <f t="shared" ref="I264:L264" si="113">I213+I222+I231+I240+I249+I258</f>
        <v>2179.5873000000001</v>
      </c>
      <c r="J264" s="28">
        <f t="shared" si="113"/>
        <v>2179.5873000000001</v>
      </c>
      <c r="K264" s="28">
        <f t="shared" si="113"/>
        <v>2179.5873000000001</v>
      </c>
      <c r="L264" s="28">
        <f t="shared" si="113"/>
        <v>2179.5873000000001</v>
      </c>
    </row>
    <row r="265" spans="2:12" x14ac:dyDescent="0.2">
      <c r="B265" s="6" t="s">
        <v>185</v>
      </c>
      <c r="G265" s="14">
        <f>G35</f>
        <v>921</v>
      </c>
      <c r="H265" s="14">
        <f>H203+H204+H262</f>
        <v>1011.0883518232874</v>
      </c>
      <c r="I265" s="14">
        <f t="shared" ref="I265:L265" si="114">I203+I204+I262</f>
        <v>600.38649147774981</v>
      </c>
      <c r="J265" s="14">
        <f t="shared" si="114"/>
        <v>539.78755029818444</v>
      </c>
      <c r="K265" s="14">
        <f t="shared" si="114"/>
        <v>743.63569823977923</v>
      </c>
      <c r="L265" s="14">
        <f t="shared" si="114"/>
        <v>1240.7039258829436</v>
      </c>
    </row>
    <row r="266" spans="2:12" x14ac:dyDescent="0.2">
      <c r="B266" s="12" t="s">
        <v>186</v>
      </c>
      <c r="H266" s="14">
        <f>AVERAGE(H203,H265)*H267</f>
        <v>9.6604417591164378</v>
      </c>
      <c r="I266" s="14">
        <f t="shared" ref="I266:L266" si="115">AVERAGE(I203,I265)*I267</f>
        <v>8.0573742165051865</v>
      </c>
      <c r="J266" s="14">
        <f t="shared" si="115"/>
        <v>5.700870208879671</v>
      </c>
      <c r="K266" s="14">
        <f t="shared" si="115"/>
        <v>6.4171162426898185</v>
      </c>
      <c r="L266" s="14">
        <f t="shared" si="115"/>
        <v>9.9216981206136143</v>
      </c>
    </row>
    <row r="267" spans="2:12" x14ac:dyDescent="0.2">
      <c r="B267" s="12" t="s">
        <v>187</v>
      </c>
      <c r="G267" s="47">
        <v>0.01</v>
      </c>
      <c r="H267" s="47">
        <v>0.01</v>
      </c>
      <c r="I267" s="47">
        <v>0.01</v>
      </c>
      <c r="J267" s="47">
        <v>0.01</v>
      </c>
      <c r="K267" s="47">
        <v>0.01</v>
      </c>
      <c r="L267" s="47">
        <v>0.01</v>
      </c>
    </row>
  </sheetData>
  <pageMargins left="0.7" right="0.7" top="0.75" bottom="0.75" header="0.3" footer="0.3"/>
  <pageSetup orientation="portrait" horizontalDpi="90" verticalDpi="9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C715D-401F-48FA-B139-C972F7409013}">
  <dimension ref="B1:R37"/>
  <sheetViews>
    <sheetView showGridLines="0" zoomScale="115" zoomScaleNormal="115" workbookViewId="0">
      <pane xSplit="2" ySplit="7" topLeftCell="E8" activePane="bottomRight" state="frozen"/>
      <selection pane="topRight" activeCell="C1" sqref="C1"/>
      <selection pane="bottomLeft" activeCell="A8" sqref="A8"/>
      <selection pane="bottomRight" activeCell="R15" sqref="R15"/>
    </sheetView>
  </sheetViews>
  <sheetFormatPr defaultColWidth="8.85546875" defaultRowHeight="12" x14ac:dyDescent="0.2"/>
  <cols>
    <col min="1" max="1" width="2.28515625" style="5" customWidth="1"/>
    <col min="2" max="2" width="56.7109375" style="5" customWidth="1"/>
    <col min="3" max="13" width="8.85546875" style="5"/>
    <col min="14" max="14" width="27.140625" style="5" customWidth="1"/>
    <col min="15" max="15" width="16.42578125" style="5" customWidth="1"/>
    <col min="16" max="16" width="8.85546875" style="5"/>
    <col min="17" max="17" width="25.5703125" style="5" customWidth="1"/>
    <col min="18" max="18" width="16.28515625" style="5" customWidth="1"/>
    <col min="19" max="16384" width="8.85546875" style="5"/>
  </cols>
  <sheetData>
    <row r="1" spans="2:18" ht="20.25" x14ac:dyDescent="0.3">
      <c r="B1" s="7" t="s">
        <v>10</v>
      </c>
    </row>
    <row r="2" spans="2:18" x14ac:dyDescent="0.2">
      <c r="B2" s="6" t="s">
        <v>190</v>
      </c>
    </row>
    <row r="6" spans="2:18" x14ac:dyDescent="0.2">
      <c r="B6" s="1" t="s">
        <v>0</v>
      </c>
      <c r="C6" s="2">
        <v>43861</v>
      </c>
      <c r="D6" s="2">
        <v>44225</v>
      </c>
      <c r="E6" s="2">
        <v>44589</v>
      </c>
      <c r="F6" s="2">
        <v>44960</v>
      </c>
      <c r="G6" s="2">
        <v>45324</v>
      </c>
      <c r="H6" s="3"/>
      <c r="I6" s="3"/>
      <c r="J6" s="3"/>
      <c r="K6" s="3"/>
    </row>
    <row r="7" spans="2:18" x14ac:dyDescent="0.2">
      <c r="B7" s="1" t="s">
        <v>1</v>
      </c>
      <c r="C7" s="4" t="s">
        <v>2</v>
      </c>
      <c r="D7" s="4" t="s">
        <v>3</v>
      </c>
      <c r="E7" s="4" t="s">
        <v>4</v>
      </c>
      <c r="F7" s="4" t="s">
        <v>5</v>
      </c>
      <c r="G7" s="4" t="s">
        <v>104</v>
      </c>
      <c r="H7" s="4" t="s">
        <v>6</v>
      </c>
      <c r="I7" s="4" t="s">
        <v>7</v>
      </c>
      <c r="J7" s="4" t="s">
        <v>8</v>
      </c>
      <c r="K7" s="4" t="s">
        <v>9</v>
      </c>
      <c r="L7" s="4" t="s">
        <v>102</v>
      </c>
    </row>
    <row r="10" spans="2:18" x14ac:dyDescent="0.2">
      <c r="B10" s="8" t="s">
        <v>191</v>
      </c>
      <c r="C10" s="8"/>
      <c r="D10" s="8"/>
      <c r="E10" s="8"/>
      <c r="F10" s="8"/>
      <c r="G10" s="8"/>
      <c r="H10" s="8"/>
      <c r="I10" s="8"/>
      <c r="J10" s="8"/>
      <c r="K10" s="8"/>
      <c r="L10" s="8"/>
      <c r="N10" s="115" t="s">
        <v>241</v>
      </c>
      <c r="O10" s="116"/>
      <c r="Q10" s="115" t="s">
        <v>262</v>
      </c>
      <c r="R10" s="116"/>
    </row>
    <row r="11" spans="2:18" x14ac:dyDescent="0.2">
      <c r="B11" s="9" t="s">
        <v>192</v>
      </c>
      <c r="C11" s="10">
        <f>'Annual Model'!C11</f>
        <v>72148</v>
      </c>
      <c r="D11" s="10">
        <f>'Annual Model'!D11</f>
        <v>89597</v>
      </c>
      <c r="E11" s="10">
        <f>'Annual Model'!E11</f>
        <v>96250</v>
      </c>
      <c r="F11" s="10">
        <f>'Annual Model'!F11</f>
        <v>97059</v>
      </c>
      <c r="G11" s="10">
        <f>'Annual Model'!G11</f>
        <v>86377</v>
      </c>
      <c r="H11" s="50">
        <f>'Annual Model'!H11</f>
        <v>84001.632500000007</v>
      </c>
      <c r="I11" s="50">
        <f>'Annual Model'!I11</f>
        <v>85261.656987499999</v>
      </c>
      <c r="J11" s="50">
        <f>'Annual Model'!J11</f>
        <v>88075.291668087491</v>
      </c>
      <c r="K11" s="50">
        <f>'Annual Model'!K11</f>
        <v>91598.303334810989</v>
      </c>
      <c r="L11" s="50">
        <f>'Annual Model'!L11</f>
        <v>95262.235468203435</v>
      </c>
      <c r="N11" s="52" t="s">
        <v>242</v>
      </c>
      <c r="O11" s="63">
        <f>SUM(H37:L37)</f>
        <v>30155.804483061434</v>
      </c>
      <c r="Q11" s="52" t="s">
        <v>242</v>
      </c>
      <c r="R11" s="63">
        <f>SUM(H37:L37)</f>
        <v>30155.804483061434</v>
      </c>
    </row>
    <row r="12" spans="2:18" x14ac:dyDescent="0.2">
      <c r="B12" s="12" t="s">
        <v>21</v>
      </c>
      <c r="C12" s="13">
        <f>'Annual Model'!C12</f>
        <v>49205</v>
      </c>
      <c r="D12" s="13">
        <f>'Annual Model'!D12</f>
        <v>60025</v>
      </c>
      <c r="E12" s="13">
        <f>'Annual Model'!E12</f>
        <v>64194</v>
      </c>
      <c r="F12" s="13">
        <f>'Annual Model'!F12</f>
        <v>64802</v>
      </c>
      <c r="G12" s="13">
        <f>'Annual Model'!G12</f>
        <v>57533</v>
      </c>
      <c r="H12" s="40">
        <f>'Annual Model'!H12</f>
        <v>55777.08398000001</v>
      </c>
      <c r="I12" s="40">
        <f>'Annual Model'!I12</f>
        <v>56571.109411206249</v>
      </c>
      <c r="J12" s="40">
        <f>'Annual Model'!J12</f>
        <v>58393.918375942012</v>
      </c>
      <c r="K12" s="40">
        <f>'Annual Model'!K12</f>
        <v>60683.875959312281</v>
      </c>
      <c r="L12" s="40">
        <f>'Annual Model'!L12</f>
        <v>63111.230997684776</v>
      </c>
      <c r="N12" s="52" t="s">
        <v>243</v>
      </c>
      <c r="O12" s="63">
        <f>L16</f>
        <v>13098.557376877972</v>
      </c>
      <c r="Q12" s="52" t="s">
        <v>263</v>
      </c>
      <c r="R12" s="63">
        <f>L31</f>
        <v>8243.7960721564559</v>
      </c>
    </row>
    <row r="13" spans="2:18" x14ac:dyDescent="0.2">
      <c r="B13" s="9" t="s">
        <v>13</v>
      </c>
      <c r="C13" s="11">
        <f>C11-C12</f>
        <v>22943</v>
      </c>
      <c r="D13" s="11">
        <f t="shared" ref="D13:L13" si="0">D11-D12</f>
        <v>29572</v>
      </c>
      <c r="E13" s="11">
        <f t="shared" si="0"/>
        <v>32056</v>
      </c>
      <c r="F13" s="11">
        <f t="shared" si="0"/>
        <v>32257</v>
      </c>
      <c r="G13" s="11">
        <f t="shared" si="0"/>
        <v>28844</v>
      </c>
      <c r="H13" s="11">
        <f t="shared" si="0"/>
        <v>28224.548519999997</v>
      </c>
      <c r="I13" s="11">
        <f t="shared" si="0"/>
        <v>28690.547576293749</v>
      </c>
      <c r="J13" s="11">
        <f t="shared" si="0"/>
        <v>29681.373292145479</v>
      </c>
      <c r="K13" s="11">
        <f t="shared" si="0"/>
        <v>30914.427375498708</v>
      </c>
      <c r="L13" s="11">
        <f t="shared" si="0"/>
        <v>32151.004470518659</v>
      </c>
      <c r="N13" s="52" t="s">
        <v>244</v>
      </c>
      <c r="O13" s="72">
        <f>WACC!F19/DCF!O12</f>
        <v>14.602374436407473</v>
      </c>
      <c r="Q13" s="52" t="s">
        <v>264</v>
      </c>
      <c r="R13" s="76">
        <v>0.02</v>
      </c>
    </row>
    <row r="14" spans="2:18" x14ac:dyDescent="0.2">
      <c r="B14" s="12" t="s">
        <v>22</v>
      </c>
      <c r="C14" s="13">
        <f>'Annual Model'!C15</f>
        <v>15367</v>
      </c>
      <c r="D14" s="13">
        <f>'Annual Model'!D15</f>
        <v>18526</v>
      </c>
      <c r="E14" s="13">
        <f>'Annual Model'!E15</f>
        <v>18301</v>
      </c>
      <c r="F14" s="13">
        <f>'Annual Model'!F15</f>
        <v>20332</v>
      </c>
      <c r="G14" s="13">
        <f>'Annual Model'!G15</f>
        <v>15570</v>
      </c>
      <c r="H14" s="40">
        <f>'Annual Model'!H15</f>
        <v>16800.326500000003</v>
      </c>
      <c r="I14" s="40">
        <f>'Annual Model'!I15</f>
        <v>17052.331397500002</v>
      </c>
      <c r="J14" s="40">
        <f>'Annual Model'!J15</f>
        <v>17615.0583336175</v>
      </c>
      <c r="K14" s="40">
        <f>'Annual Model'!K15</f>
        <v>18319.660666962198</v>
      </c>
      <c r="L14" s="40">
        <f>'Annual Model'!L15</f>
        <v>19052.447093640687</v>
      </c>
      <c r="N14" s="52" t="s">
        <v>245</v>
      </c>
      <c r="O14" s="63">
        <f>O12*O13</f>
        <v>191270.03939393943</v>
      </c>
      <c r="Q14" s="52" t="s">
        <v>245</v>
      </c>
      <c r="R14" s="63">
        <f>(R12*(1+R13)/(L35-R13))</f>
        <v>123067.8544499761</v>
      </c>
    </row>
    <row r="15" spans="2:18" x14ac:dyDescent="0.2">
      <c r="B15" s="15" t="s">
        <v>117</v>
      </c>
      <c r="C15" s="51">
        <f>C14/C11</f>
        <v>0.21299273715141098</v>
      </c>
      <c r="D15" s="51">
        <f t="shared" ref="D15:L15" si="1">D14/D11</f>
        <v>0.2067703159704008</v>
      </c>
      <c r="E15" s="51">
        <f t="shared" si="1"/>
        <v>0.19014025974025975</v>
      </c>
      <c r="F15" s="51">
        <f t="shared" si="1"/>
        <v>0.2094808312469735</v>
      </c>
      <c r="G15" s="51">
        <f t="shared" si="1"/>
        <v>0.18025631823286292</v>
      </c>
      <c r="H15" s="51">
        <f t="shared" si="1"/>
        <v>0.2</v>
      </c>
      <c r="I15" s="51">
        <f t="shared" si="1"/>
        <v>0.20000000000000004</v>
      </c>
      <c r="J15" s="51">
        <f t="shared" si="1"/>
        <v>0.2</v>
      </c>
      <c r="K15" s="51">
        <f t="shared" si="1"/>
        <v>0.2</v>
      </c>
      <c r="L15" s="51">
        <f t="shared" si="1"/>
        <v>0.2</v>
      </c>
      <c r="N15" s="52" t="s">
        <v>246</v>
      </c>
      <c r="O15" s="63">
        <f>O14/(1+L35)^L34</f>
        <v>125271.68915848191</v>
      </c>
      <c r="Q15" s="52" t="s">
        <v>246</v>
      </c>
      <c r="R15" s="63">
        <f>R14/(1+L35)^L34</f>
        <v>80602.890326728302</v>
      </c>
    </row>
    <row r="16" spans="2:18" x14ac:dyDescent="0.2">
      <c r="B16" s="9" t="s">
        <v>189</v>
      </c>
      <c r="C16" s="11">
        <f>C20+C18</f>
        <v>7576</v>
      </c>
      <c r="D16" s="11">
        <f t="shared" ref="D16:L16" si="2">D20+D18</f>
        <v>11046</v>
      </c>
      <c r="E16" s="11">
        <f t="shared" si="2"/>
        <v>13755</v>
      </c>
      <c r="F16" s="11">
        <f t="shared" si="2"/>
        <v>11925</v>
      </c>
      <c r="G16" s="11">
        <f t="shared" si="2"/>
        <v>13274</v>
      </c>
      <c r="H16" s="11">
        <f t="shared" si="2"/>
        <v>11424.222019999994</v>
      </c>
      <c r="I16" s="11">
        <f t="shared" si="2"/>
        <v>11638.216178793748</v>
      </c>
      <c r="J16" s="11">
        <f t="shared" si="2"/>
        <v>12066.314958527979</v>
      </c>
      <c r="K16" s="11">
        <f t="shared" si="2"/>
        <v>12594.76670853651</v>
      </c>
      <c r="L16" s="11">
        <f t="shared" si="2"/>
        <v>13098.557376877972</v>
      </c>
      <c r="N16" s="71" t="s">
        <v>247</v>
      </c>
      <c r="O16" s="73">
        <f>O11+O15</f>
        <v>155427.49364154335</v>
      </c>
      <c r="Q16" s="71" t="s">
        <v>247</v>
      </c>
      <c r="R16" s="73">
        <f>R11+R15</f>
        <v>110758.69480978974</v>
      </c>
    </row>
    <row r="17" spans="2:18" x14ac:dyDescent="0.2">
      <c r="B17" s="23" t="s">
        <v>193</v>
      </c>
      <c r="C17" s="51">
        <f>C16/C11</f>
        <v>0.10500637578311249</v>
      </c>
      <c r="D17" s="51">
        <f t="shared" ref="D17:L17" si="3">D16/D11</f>
        <v>0.12328537785863367</v>
      </c>
      <c r="E17" s="51">
        <f t="shared" si="3"/>
        <v>0.1429090909090909</v>
      </c>
      <c r="F17" s="51">
        <f t="shared" si="3"/>
        <v>0.12286341297561278</v>
      </c>
      <c r="G17" s="51">
        <f t="shared" si="3"/>
        <v>0.15367516815819027</v>
      </c>
      <c r="H17" s="51">
        <f t="shared" si="3"/>
        <v>0.13599999999999993</v>
      </c>
      <c r="I17" s="51">
        <f t="shared" si="3"/>
        <v>0.13649999999999998</v>
      </c>
      <c r="J17" s="51">
        <f t="shared" si="3"/>
        <v>0.13699999999999993</v>
      </c>
      <c r="K17" s="51">
        <f t="shared" si="3"/>
        <v>0.13749999999999998</v>
      </c>
      <c r="L17" s="51">
        <f t="shared" si="3"/>
        <v>0.13750000000000001</v>
      </c>
      <c r="N17" s="58" t="s">
        <v>248</v>
      </c>
      <c r="O17" s="65">
        <v>3271</v>
      </c>
      <c r="Q17" s="58" t="s">
        <v>248</v>
      </c>
      <c r="R17" s="65">
        <v>3271</v>
      </c>
    </row>
    <row r="18" spans="2:18" x14ac:dyDescent="0.2">
      <c r="B18" s="25" t="s">
        <v>23</v>
      </c>
      <c r="C18" s="13">
        <f>'Annual Model'!C83</f>
        <v>1410</v>
      </c>
      <c r="D18" s="13">
        <f>'Annual Model'!D83</f>
        <v>1594</v>
      </c>
      <c r="E18" s="13">
        <f>'Annual Model'!E83</f>
        <v>1882</v>
      </c>
      <c r="F18" s="13">
        <f>'Annual Model'!F83</f>
        <v>1981</v>
      </c>
      <c r="G18" s="13">
        <f>'Annual Model'!G83</f>
        <v>1923</v>
      </c>
      <c r="H18" s="40">
        <f>'Annual Model'!H83</f>
        <v>1683.7797163681817</v>
      </c>
      <c r="I18" s="40">
        <f>'Annual Model'!I83</f>
        <v>1758.8099745171817</v>
      </c>
      <c r="J18" s="40">
        <f>'Annual Model'!J83</f>
        <v>1829.2702078516518</v>
      </c>
      <c r="K18" s="40">
        <f>'Annual Model'!K83</f>
        <v>1902.5488505195005</v>
      </c>
      <c r="L18" s="40">
        <f>'Annual Model'!L83</f>
        <v>1978.7586388940633</v>
      </c>
      <c r="N18" s="58" t="s">
        <v>249</v>
      </c>
      <c r="O18" s="66">
        <v>332</v>
      </c>
      <c r="Q18" s="58" t="s">
        <v>249</v>
      </c>
      <c r="R18" s="66">
        <v>332</v>
      </c>
    </row>
    <row r="19" spans="2:18" x14ac:dyDescent="0.2">
      <c r="B19" s="23" t="s">
        <v>194</v>
      </c>
      <c r="C19" s="51">
        <f>C18/C11</f>
        <v>1.954316127959195E-2</v>
      </c>
      <c r="D19" s="51">
        <f t="shared" ref="D19:L19" si="4">D18/D11</f>
        <v>1.7790774244673371E-2</v>
      </c>
      <c r="E19" s="51">
        <f t="shared" si="4"/>
        <v>1.9553246753246753E-2</v>
      </c>
      <c r="F19" s="51">
        <f t="shared" si="4"/>
        <v>2.0410265920728629E-2</v>
      </c>
      <c r="G19" s="51">
        <f t="shared" si="4"/>
        <v>2.2262870903133936E-2</v>
      </c>
      <c r="H19" s="51">
        <f t="shared" si="4"/>
        <v>2.0044607066037456E-2</v>
      </c>
      <c r="I19" s="51">
        <f t="shared" si="4"/>
        <v>2.0628381345849711E-2</v>
      </c>
      <c r="J19" s="51">
        <f t="shared" si="4"/>
        <v>2.076939142870253E-2</v>
      </c>
      <c r="K19" s="51">
        <f t="shared" si="4"/>
        <v>2.0770568681444741E-2</v>
      </c>
      <c r="L19" s="51">
        <f t="shared" si="4"/>
        <v>2.0771700655235328E-2</v>
      </c>
      <c r="N19" s="58" t="s">
        <v>250</v>
      </c>
      <c r="O19" s="66">
        <f>-32906-425</f>
        <v>-33331</v>
      </c>
      <c r="Q19" s="58" t="s">
        <v>250</v>
      </c>
      <c r="R19" s="66">
        <f>-32906-425</f>
        <v>-33331</v>
      </c>
    </row>
    <row r="20" spans="2:18" x14ac:dyDescent="0.2">
      <c r="B20" s="9" t="s">
        <v>195</v>
      </c>
      <c r="C20" s="11">
        <f>C13-C14-C18</f>
        <v>6166</v>
      </c>
      <c r="D20" s="11">
        <f t="shared" ref="D20:L20" si="5">D13-D14-D18</f>
        <v>9452</v>
      </c>
      <c r="E20" s="11">
        <f t="shared" si="5"/>
        <v>11873</v>
      </c>
      <c r="F20" s="11">
        <f t="shared" si="5"/>
        <v>9944</v>
      </c>
      <c r="G20" s="11">
        <f t="shared" si="5"/>
        <v>11351</v>
      </c>
      <c r="H20" s="11">
        <f t="shared" si="5"/>
        <v>9740.4423036318112</v>
      </c>
      <c r="I20" s="11">
        <f t="shared" si="5"/>
        <v>9879.4062042765654</v>
      </c>
      <c r="J20" s="11">
        <f t="shared" si="5"/>
        <v>10237.044750676327</v>
      </c>
      <c r="K20" s="11">
        <f t="shared" si="5"/>
        <v>10692.217858017009</v>
      </c>
      <c r="L20" s="11">
        <f t="shared" si="5"/>
        <v>11119.798737983909</v>
      </c>
      <c r="N20" s="58" t="s">
        <v>251</v>
      </c>
      <c r="O20" s="66">
        <v>0</v>
      </c>
      <c r="Q20" s="58" t="s">
        <v>251</v>
      </c>
      <c r="R20" s="66">
        <v>0</v>
      </c>
    </row>
    <row r="21" spans="2:18" x14ac:dyDescent="0.2">
      <c r="B21" s="23" t="s">
        <v>196</v>
      </c>
      <c r="C21" s="14"/>
      <c r="D21" s="51">
        <f>D20/C20-1</f>
        <v>0.53292247810574112</v>
      </c>
      <c r="E21" s="51">
        <f t="shared" ref="E21:L21" si="6">E20/D20-1</f>
        <v>0.25613626745662299</v>
      </c>
      <c r="F21" s="51">
        <f t="shared" si="6"/>
        <v>-0.16246946854207023</v>
      </c>
      <c r="G21" s="51">
        <f t="shared" si="6"/>
        <v>0.14149235720032172</v>
      </c>
      <c r="H21" s="51">
        <f t="shared" si="6"/>
        <v>-0.14188685546367619</v>
      </c>
      <c r="I21" s="51">
        <f t="shared" si="6"/>
        <v>1.4266693063100355E-2</v>
      </c>
      <c r="J21" s="51">
        <f t="shared" si="6"/>
        <v>3.6200409114157894E-2</v>
      </c>
      <c r="K21" s="51">
        <f t="shared" si="6"/>
        <v>4.4463330817285929E-2</v>
      </c>
      <c r="L21" s="51">
        <f t="shared" si="6"/>
        <v>3.9989914687933448E-2</v>
      </c>
      <c r="N21" s="58" t="s">
        <v>252</v>
      </c>
      <c r="O21" s="66">
        <v>-3771</v>
      </c>
      <c r="Q21" s="58" t="s">
        <v>252</v>
      </c>
      <c r="R21" s="66">
        <v>-3771</v>
      </c>
    </row>
    <row r="22" spans="2:18" x14ac:dyDescent="0.2">
      <c r="B22" s="23" t="s">
        <v>197</v>
      </c>
      <c r="C22" s="51">
        <f>C20/C11</f>
        <v>8.546321450352054E-2</v>
      </c>
      <c r="D22" s="51">
        <f t="shared" ref="D22:L22" si="7">D20/D11</f>
        <v>0.10549460361396029</v>
      </c>
      <c r="E22" s="51">
        <f t="shared" si="7"/>
        <v>0.12335584415584415</v>
      </c>
      <c r="F22" s="51">
        <f t="shared" si="7"/>
        <v>0.10245314705488415</v>
      </c>
      <c r="G22" s="51">
        <f t="shared" si="7"/>
        <v>0.13141229725505632</v>
      </c>
      <c r="H22" s="51">
        <f t="shared" si="7"/>
        <v>0.11595539293396245</v>
      </c>
      <c r="I22" s="51">
        <f t="shared" si="7"/>
        <v>0.11587161865415026</v>
      </c>
      <c r="J22" s="51">
        <f t="shared" si="7"/>
        <v>0.11623060857129738</v>
      </c>
      <c r="K22" s="51">
        <f t="shared" si="7"/>
        <v>0.11672943131855525</v>
      </c>
      <c r="L22" s="51">
        <f t="shared" si="7"/>
        <v>0.11672829934476467</v>
      </c>
      <c r="N22" s="58" t="s">
        <v>253</v>
      </c>
      <c r="O22" s="66">
        <v>0</v>
      </c>
      <c r="Q22" s="58" t="s">
        <v>253</v>
      </c>
      <c r="R22" s="66">
        <v>0</v>
      </c>
    </row>
    <row r="23" spans="2:18" x14ac:dyDescent="0.2">
      <c r="B23" s="5" t="s">
        <v>198</v>
      </c>
      <c r="C23" s="40">
        <f>-C20*C24</f>
        <v>-1471.5938111328473</v>
      </c>
      <c r="D23" s="40">
        <f t="shared" ref="D23:L23" si="8">-D20*D24</f>
        <v>-2325.4435973640007</v>
      </c>
      <c r="E23" s="40">
        <f t="shared" si="8"/>
        <v>-2930.1140256959316</v>
      </c>
      <c r="F23" s="40">
        <f t="shared" si="8"/>
        <v>-2860.165559982293</v>
      </c>
      <c r="G23" s="40">
        <f t="shared" si="8"/>
        <v>-2732.0490417690417</v>
      </c>
      <c r="H23" s="40">
        <f t="shared" si="8"/>
        <v>-2454.1872165479476</v>
      </c>
      <c r="I23" s="40">
        <f t="shared" si="8"/>
        <v>-2489.2003522858222</v>
      </c>
      <c r="J23" s="40">
        <f t="shared" si="8"/>
        <v>-2579.3104234056746</v>
      </c>
      <c r="K23" s="40">
        <f t="shared" si="8"/>
        <v>-2693.9951560420354</v>
      </c>
      <c r="L23" s="40">
        <f t="shared" si="8"/>
        <v>-2801.7277925018625</v>
      </c>
      <c r="N23" s="58" t="s">
        <v>254</v>
      </c>
      <c r="O23" s="67">
        <v>0</v>
      </c>
      <c r="Q23" s="58" t="s">
        <v>254</v>
      </c>
      <c r="R23" s="67">
        <v>0</v>
      </c>
    </row>
    <row r="24" spans="2:18" x14ac:dyDescent="0.2">
      <c r="B24" s="23" t="s">
        <v>16</v>
      </c>
      <c r="C24" s="16">
        <f>'Annual Model'!C22</f>
        <v>0.23866263560377024</v>
      </c>
      <c r="D24" s="16">
        <f>'Annual Model'!D22</f>
        <v>0.24602661842615325</v>
      </c>
      <c r="E24" s="16">
        <f>'Annual Model'!E22</f>
        <v>0.2467880085653105</v>
      </c>
      <c r="F24" s="16">
        <f>'Annual Model'!F22</f>
        <v>0.2876272687029659</v>
      </c>
      <c r="G24" s="16">
        <f>'Annual Model'!G22</f>
        <v>0.24068796068796069</v>
      </c>
      <c r="H24" s="16">
        <f>'Annual Model'!H22</f>
        <v>0.25195849839723211</v>
      </c>
      <c r="I24" s="16">
        <f>'Annual Model'!I22</f>
        <v>0.25195849839723211</v>
      </c>
      <c r="J24" s="16">
        <f>'Annual Model'!J22</f>
        <v>0.25195849839723211</v>
      </c>
      <c r="K24" s="16">
        <f>'Annual Model'!K22</f>
        <v>0.25195849839723211</v>
      </c>
      <c r="L24" s="16">
        <f>'Annual Model'!L22</f>
        <v>0.25195849839723211</v>
      </c>
      <c r="N24" s="71" t="s">
        <v>255</v>
      </c>
      <c r="O24" s="73">
        <f>SUM(O16:O23)</f>
        <v>121928.49364154335</v>
      </c>
      <c r="Q24" s="71" t="s">
        <v>255</v>
      </c>
      <c r="R24" s="73">
        <f>SUM(R16:R23)</f>
        <v>77259.69480978974</v>
      </c>
    </row>
    <row r="25" spans="2:18" x14ac:dyDescent="0.2">
      <c r="B25" s="9" t="s">
        <v>199</v>
      </c>
      <c r="C25" s="11">
        <f>C20+C23</f>
        <v>4694.4061888671531</v>
      </c>
      <c r="D25" s="11">
        <f t="shared" ref="D25:L25" si="9">D20+D23</f>
        <v>7126.5564026359989</v>
      </c>
      <c r="E25" s="11">
        <f t="shared" si="9"/>
        <v>8942.8859743040684</v>
      </c>
      <c r="F25" s="11">
        <f t="shared" si="9"/>
        <v>7083.8344400177066</v>
      </c>
      <c r="G25" s="11">
        <f t="shared" si="9"/>
        <v>8618.9509582309583</v>
      </c>
      <c r="H25" s="11">
        <f t="shared" si="9"/>
        <v>7286.2550870838641</v>
      </c>
      <c r="I25" s="11">
        <f t="shared" si="9"/>
        <v>7390.2058519907432</v>
      </c>
      <c r="J25" s="11">
        <f t="shared" si="9"/>
        <v>7657.7343272706521</v>
      </c>
      <c r="K25" s="11">
        <f t="shared" si="9"/>
        <v>7998.2227019749735</v>
      </c>
      <c r="L25" s="11">
        <f t="shared" si="9"/>
        <v>8318.0709454820462</v>
      </c>
      <c r="N25" s="52" t="s">
        <v>256</v>
      </c>
      <c r="O25" s="63">
        <f>'Annual Model'!G29</f>
        <v>585.30303030303037</v>
      </c>
      <c r="Q25" s="52" t="s">
        <v>256</v>
      </c>
      <c r="R25" s="63">
        <f>'Annual Model'!G29</f>
        <v>585.30303030303037</v>
      </c>
    </row>
    <row r="26" spans="2:18" x14ac:dyDescent="0.2">
      <c r="B26" s="5" t="s">
        <v>200</v>
      </c>
      <c r="C26" s="14">
        <f>'Annual Model'!C83</f>
        <v>1410</v>
      </c>
      <c r="D26" s="14">
        <f>'Annual Model'!D83</f>
        <v>1594</v>
      </c>
      <c r="E26" s="14">
        <f>'Annual Model'!E83</f>
        <v>1882</v>
      </c>
      <c r="F26" s="14">
        <f>'Annual Model'!F83</f>
        <v>1981</v>
      </c>
      <c r="G26" s="14">
        <f>'Annual Model'!G83</f>
        <v>1923</v>
      </c>
      <c r="H26" s="14">
        <f>'Annual Model'!H83</f>
        <v>1683.7797163681817</v>
      </c>
      <c r="I26" s="14">
        <f>'Annual Model'!I83</f>
        <v>1758.8099745171817</v>
      </c>
      <c r="J26" s="14">
        <f>'Annual Model'!J83</f>
        <v>1829.2702078516518</v>
      </c>
      <c r="K26" s="14">
        <f>'Annual Model'!K83</f>
        <v>1902.5488505195005</v>
      </c>
      <c r="L26" s="14">
        <f>'Annual Model'!L83</f>
        <v>1978.7586388940633</v>
      </c>
      <c r="N26" s="71" t="s">
        <v>257</v>
      </c>
      <c r="O26" s="64">
        <f>O24/O25</f>
        <v>208.31686721050633</v>
      </c>
      <c r="Q26" s="71" t="s">
        <v>257</v>
      </c>
      <c r="R26" s="64">
        <f>R24/R25</f>
        <v>131.99947857743004</v>
      </c>
    </row>
    <row r="27" spans="2:18" x14ac:dyDescent="0.2">
      <c r="B27" s="5" t="s">
        <v>201</v>
      </c>
      <c r="C27" s="14">
        <f>'Annual Model'!C104</f>
        <v>-1484</v>
      </c>
      <c r="D27" s="14">
        <f>'Annual Model'!D104</f>
        <v>-1791</v>
      </c>
      <c r="E27" s="14">
        <f>'Annual Model'!E104</f>
        <v>-1853</v>
      </c>
      <c r="F27" s="14">
        <f>'Annual Model'!F104</f>
        <v>-1829</v>
      </c>
      <c r="G27" s="14">
        <f>'Annual Model'!G104</f>
        <v>-1964</v>
      </c>
      <c r="H27" s="14">
        <f>'Annual Model'!H104</f>
        <v>-1974.0383637500001</v>
      </c>
      <c r="I27" s="14">
        <f>'Annual Model'!I104</f>
        <v>-1875.7564537249998</v>
      </c>
      <c r="J27" s="14">
        <f>'Annual Model'!J104</f>
        <v>-1761.5058333617499</v>
      </c>
      <c r="K27" s="14">
        <f>'Annual Model'!K104</f>
        <v>-1831.9660666962197</v>
      </c>
      <c r="L27" s="14">
        <f>'Annual Model'!L104</f>
        <v>-1905.2447093640687</v>
      </c>
      <c r="N27" s="52"/>
      <c r="O27" s="53"/>
      <c r="Q27" s="52"/>
      <c r="R27" s="53"/>
    </row>
    <row r="28" spans="2:18" x14ac:dyDescent="0.2">
      <c r="B28" s="23" t="s">
        <v>126</v>
      </c>
      <c r="C28" s="51">
        <f>-C27/C11</f>
        <v>2.0568830736818762E-2</v>
      </c>
      <c r="D28" s="51">
        <f t="shared" ref="D28:L28" si="10">-D27/D11</f>
        <v>1.9989508577296113E-2</v>
      </c>
      <c r="E28" s="51">
        <f t="shared" si="10"/>
        <v>1.9251948051948051E-2</v>
      </c>
      <c r="F28" s="51">
        <f t="shared" si="10"/>
        <v>1.8844208162045767E-2</v>
      </c>
      <c r="G28" s="51">
        <f t="shared" si="10"/>
        <v>2.2737534297324519E-2</v>
      </c>
      <c r="H28" s="51">
        <f t="shared" si="10"/>
        <v>2.35E-2</v>
      </c>
      <c r="I28" s="51">
        <f t="shared" si="10"/>
        <v>2.1999999999999999E-2</v>
      </c>
      <c r="J28" s="51">
        <f t="shared" si="10"/>
        <v>0.02</v>
      </c>
      <c r="K28" s="51">
        <f t="shared" si="10"/>
        <v>0.02</v>
      </c>
      <c r="L28" s="51">
        <f t="shared" si="10"/>
        <v>0.02</v>
      </c>
      <c r="N28" s="52" t="s">
        <v>258</v>
      </c>
      <c r="O28" s="55">
        <f>O16/O14</f>
        <v>0.81260763125282343</v>
      </c>
      <c r="Q28" s="52" t="s">
        <v>258</v>
      </c>
      <c r="R28" s="55">
        <f>R16/R14</f>
        <v>0.89998070824262466</v>
      </c>
    </row>
    <row r="29" spans="2:18" x14ac:dyDescent="0.2">
      <c r="B29" s="5" t="s">
        <v>202</v>
      </c>
      <c r="C29" s="14">
        <f>'Annual Model'!C98</f>
        <v>-2255</v>
      </c>
      <c r="D29" s="14">
        <f>'Annual Model'!D98</f>
        <v>1895</v>
      </c>
      <c r="E29" s="14">
        <f>'Annual Model'!E98</f>
        <v>-1127</v>
      </c>
      <c r="F29" s="14">
        <f>'Annual Model'!F98</f>
        <v>-2882</v>
      </c>
      <c r="G29" s="14">
        <f>'Annual Model'!G98</f>
        <v>-2228</v>
      </c>
      <c r="H29" s="14">
        <f>'Annual Model'!H98</f>
        <v>715.00467610190617</v>
      </c>
      <c r="I29" s="14">
        <f>'Annual Model'!I98</f>
        <v>-39.955489833488514</v>
      </c>
      <c r="J29" s="14">
        <f>'Annual Model'!J98</f>
        <v>-107.3665203269835</v>
      </c>
      <c r="K29" s="14">
        <f>'Annual Model'!K98</f>
        <v>-135.6816592508585</v>
      </c>
      <c r="L29" s="14">
        <f>'Annual Model'!L98</f>
        <v>-147.78880285558478</v>
      </c>
      <c r="N29" s="52"/>
      <c r="O29" s="53"/>
      <c r="Q29" s="52" t="s">
        <v>265</v>
      </c>
      <c r="R29" s="72">
        <f>R14/L16</f>
        <v>9.3955273782454665</v>
      </c>
    </row>
    <row r="30" spans="2:18" x14ac:dyDescent="0.2">
      <c r="B30" s="23" t="s">
        <v>203</v>
      </c>
      <c r="C30" s="51">
        <f>C29/C11</f>
        <v>-3.1255197649276485E-2</v>
      </c>
      <c r="D30" s="51">
        <f t="shared" ref="D30:L30" si="11">D29/D11</f>
        <v>2.1150261727513199E-2</v>
      </c>
      <c r="E30" s="51">
        <f t="shared" si="11"/>
        <v>-1.1709090909090909E-2</v>
      </c>
      <c r="F30" s="51">
        <f t="shared" si="11"/>
        <v>-2.9693279345552704E-2</v>
      </c>
      <c r="G30" s="51">
        <f t="shared" si="11"/>
        <v>-2.579390346967364E-2</v>
      </c>
      <c r="H30" s="51">
        <f t="shared" si="11"/>
        <v>8.5117950071018685E-3</v>
      </c>
      <c r="I30" s="51">
        <f t="shared" si="11"/>
        <v>-4.6862201891462526E-4</v>
      </c>
      <c r="J30" s="51">
        <f t="shared" si="11"/>
        <v>-1.2190311072893766E-3</v>
      </c>
      <c r="K30" s="51">
        <f t="shared" si="11"/>
        <v>-1.481268258374979E-3</v>
      </c>
      <c r="L30" s="51">
        <f t="shared" si="11"/>
        <v>-1.5513891956158601E-3</v>
      </c>
      <c r="N30" s="52"/>
      <c r="O30" s="53"/>
      <c r="Q30" s="52"/>
      <c r="R30" s="53"/>
    </row>
    <row r="31" spans="2:18" x14ac:dyDescent="0.2">
      <c r="B31" s="9" t="s">
        <v>204</v>
      </c>
      <c r="C31" s="11">
        <f>C25+C26+C27+C29</f>
        <v>2365.4061888671531</v>
      </c>
      <c r="D31" s="11">
        <f t="shared" ref="D31:L31" si="12">D25+D26+D27+D29</f>
        <v>8824.5564026359989</v>
      </c>
      <c r="E31" s="11">
        <f t="shared" si="12"/>
        <v>7844.8859743040684</v>
      </c>
      <c r="F31" s="11">
        <f t="shared" si="12"/>
        <v>4353.8344400177066</v>
      </c>
      <c r="G31" s="11">
        <f t="shared" si="12"/>
        <v>6349.9509582309583</v>
      </c>
      <c r="H31" s="11">
        <f t="shared" si="12"/>
        <v>7711.0011158039524</v>
      </c>
      <c r="I31" s="11">
        <f t="shared" si="12"/>
        <v>7233.3038829494362</v>
      </c>
      <c r="J31" s="11">
        <f t="shared" si="12"/>
        <v>7618.1321814335697</v>
      </c>
      <c r="K31" s="11">
        <f t="shared" si="12"/>
        <v>7933.1238265473958</v>
      </c>
      <c r="L31" s="11">
        <f t="shared" si="12"/>
        <v>8243.7960721564559</v>
      </c>
      <c r="N31" s="52" t="s">
        <v>259</v>
      </c>
      <c r="O31" s="74">
        <v>268.42</v>
      </c>
      <c r="Q31" s="52" t="s">
        <v>259</v>
      </c>
      <c r="R31" s="74">
        <v>268.42</v>
      </c>
    </row>
    <row r="32" spans="2:18" x14ac:dyDescent="0.2">
      <c r="B32" s="23" t="s">
        <v>205</v>
      </c>
      <c r="D32" s="51">
        <f>D31/C31-1</f>
        <v>2.7306727462577074</v>
      </c>
      <c r="E32" s="51">
        <f t="shared" ref="E32:L32" si="13">E31/D31-1</f>
        <v>-0.11101639375768413</v>
      </c>
      <c r="F32" s="51">
        <f t="shared" si="13"/>
        <v>-0.44500985045815888</v>
      </c>
      <c r="G32" s="51">
        <f t="shared" si="13"/>
        <v>0.45847322531748214</v>
      </c>
      <c r="H32" s="51">
        <f t="shared" si="13"/>
        <v>0.214340262865931</v>
      </c>
      <c r="I32" s="51">
        <f t="shared" si="13"/>
        <v>-6.1950092560025705E-2</v>
      </c>
      <c r="J32" s="51">
        <f t="shared" si="13"/>
        <v>5.3202285526986248E-2</v>
      </c>
      <c r="K32" s="51">
        <f t="shared" si="13"/>
        <v>4.1347621386972566E-2</v>
      </c>
      <c r="L32" s="51">
        <f t="shared" si="13"/>
        <v>3.9161401284249164E-2</v>
      </c>
      <c r="N32" s="52" t="s">
        <v>260</v>
      </c>
      <c r="O32" s="56">
        <v>1.7100000000000001E-2</v>
      </c>
      <c r="Q32" s="52" t="s">
        <v>260</v>
      </c>
      <c r="R32" s="56">
        <v>1.7100000000000001E-2</v>
      </c>
    </row>
    <row r="33" spans="2:18" x14ac:dyDescent="0.2">
      <c r="N33" s="71" t="s">
        <v>261</v>
      </c>
      <c r="O33" s="69">
        <f>((O26-O31)/O31)+O32</f>
        <v>-0.20681451005697668</v>
      </c>
      <c r="Q33" s="71" t="s">
        <v>261</v>
      </c>
      <c r="R33" s="75">
        <f>((R26-R31)/R31)+R32</f>
        <v>-0.49113530818333195</v>
      </c>
    </row>
    <row r="34" spans="2:18" x14ac:dyDescent="0.2">
      <c r="B34" s="5" t="s">
        <v>206</v>
      </c>
      <c r="H34" s="5">
        <v>1</v>
      </c>
      <c r="I34" s="5">
        <v>2</v>
      </c>
      <c r="J34" s="5">
        <v>3</v>
      </c>
      <c r="K34" s="5">
        <v>4</v>
      </c>
      <c r="L34" s="5">
        <v>5</v>
      </c>
    </row>
    <row r="35" spans="2:18" x14ac:dyDescent="0.2">
      <c r="B35" s="5" t="s">
        <v>207</v>
      </c>
      <c r="H35" s="17">
        <f>WACC!C15</f>
        <v>8.8325494347652675E-2</v>
      </c>
      <c r="I35" s="17">
        <f>H35</f>
        <v>8.8325494347652675E-2</v>
      </c>
      <c r="J35" s="17">
        <f t="shared" ref="J35:L35" si="14">I35</f>
        <v>8.8325494347652675E-2</v>
      </c>
      <c r="K35" s="17">
        <f t="shared" si="14"/>
        <v>8.8325494347652675E-2</v>
      </c>
      <c r="L35" s="17">
        <f t="shared" si="14"/>
        <v>8.8325494347652675E-2</v>
      </c>
    </row>
    <row r="36" spans="2:18" x14ac:dyDescent="0.2">
      <c r="B36" s="5" t="s">
        <v>208</v>
      </c>
      <c r="H36" s="70">
        <f>1/(1+H35)^H34</f>
        <v>0.91884275907678215</v>
      </c>
      <c r="I36" s="70">
        <f t="shared" ref="I36:L36" si="15">1/(1+I35)^I34</f>
        <v>0.84427201590783352</v>
      </c>
      <c r="J36" s="70">
        <f t="shared" si="15"/>
        <v>0.77575322850807071</v>
      </c>
      <c r="K36" s="70">
        <f t="shared" si="15"/>
        <v>0.71279523684507706</v>
      </c>
      <c r="L36" s="70">
        <f t="shared" si="15"/>
        <v>0.65494674207951908</v>
      </c>
    </row>
    <row r="37" spans="2:18" x14ac:dyDescent="0.2">
      <c r="B37" s="9" t="s">
        <v>209</v>
      </c>
      <c r="C37" s="11"/>
      <c r="D37" s="11"/>
      <c r="E37" s="11"/>
      <c r="F37" s="11"/>
      <c r="G37" s="11"/>
      <c r="H37" s="11">
        <f>H31*H36</f>
        <v>7085.1975404894492</v>
      </c>
      <c r="I37" s="11">
        <f t="shared" ref="I37:L37" si="16">I31*I36</f>
        <v>6106.8760509316808</v>
      </c>
      <c r="J37" s="11">
        <f t="shared" si="16"/>
        <v>5909.7906349483228</v>
      </c>
      <c r="K37" s="11">
        <f t="shared" si="16"/>
        <v>5654.6928768651751</v>
      </c>
      <c r="L37" s="11">
        <f t="shared" si="16"/>
        <v>5399.2473798268065</v>
      </c>
    </row>
  </sheetData>
  <mergeCells count="2">
    <mergeCell ref="N10:O10"/>
    <mergeCell ref="Q10:R1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4C196-8C5B-4698-833C-7EB2B1C58D07}">
  <dimension ref="B1:K19"/>
  <sheetViews>
    <sheetView showGridLines="0" zoomScale="115" zoomScaleNormal="11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9" sqref="K9"/>
    </sheetView>
  </sheetViews>
  <sheetFormatPr defaultColWidth="8.85546875" defaultRowHeight="12" x14ac:dyDescent="0.2"/>
  <cols>
    <col min="1" max="1" width="2.28515625" style="5" customWidth="1"/>
    <col min="2" max="2" width="35.7109375" style="5" customWidth="1"/>
    <col min="3" max="3" width="18.28515625" style="5" customWidth="1"/>
    <col min="4" max="4" width="8.85546875" style="5"/>
    <col min="5" max="5" width="28.42578125" style="5" customWidth="1"/>
    <col min="6" max="6" width="15.85546875" style="5" customWidth="1"/>
    <col min="7" max="7" width="8.85546875" style="5"/>
    <col min="8" max="8" width="29.7109375" style="5" customWidth="1"/>
    <col min="9" max="9" width="13.5703125" style="5" customWidth="1"/>
    <col min="10" max="16384" width="8.85546875" style="5"/>
  </cols>
  <sheetData>
    <row r="1" spans="2:11" ht="20.25" x14ac:dyDescent="0.3">
      <c r="B1" s="7" t="s">
        <v>10</v>
      </c>
    </row>
    <row r="2" spans="2:11" x14ac:dyDescent="0.2">
      <c r="B2" s="6" t="s">
        <v>210</v>
      </c>
    </row>
    <row r="6" spans="2:11" x14ac:dyDescent="0.2">
      <c r="B6" s="115" t="s">
        <v>211</v>
      </c>
      <c r="C6" s="116"/>
      <c r="E6" s="115" t="s">
        <v>218</v>
      </c>
      <c r="F6" s="116"/>
      <c r="H6" s="115" t="s">
        <v>231</v>
      </c>
      <c r="I6" s="117"/>
      <c r="J6" s="116"/>
    </row>
    <row r="7" spans="2:11" x14ac:dyDescent="0.2">
      <c r="B7" s="52" t="s">
        <v>212</v>
      </c>
      <c r="C7" s="56">
        <v>4.6800000000000001E-2</v>
      </c>
      <c r="E7" s="52" t="s">
        <v>219</v>
      </c>
      <c r="F7" s="62">
        <v>268.42</v>
      </c>
      <c r="H7" s="59" t="s">
        <v>232</v>
      </c>
      <c r="I7" s="60" t="s">
        <v>233</v>
      </c>
      <c r="J7" s="61" t="s">
        <v>234</v>
      </c>
    </row>
    <row r="8" spans="2:11" x14ac:dyDescent="0.2">
      <c r="B8" s="52" t="s">
        <v>213</v>
      </c>
      <c r="C8" s="56">
        <v>4.5999999999999999E-2</v>
      </c>
      <c r="E8" s="52" t="s">
        <v>220</v>
      </c>
      <c r="F8" s="63">
        <f>'Annual Model'!G28</f>
        <v>583.97581254724105</v>
      </c>
      <c r="H8" s="52" t="s">
        <v>235</v>
      </c>
      <c r="I8" s="40">
        <v>32906</v>
      </c>
      <c r="J8" s="68">
        <f>I8/I12</f>
        <v>0.71032919589854293</v>
      </c>
    </row>
    <row r="9" spans="2:11" x14ac:dyDescent="0.2">
      <c r="B9" s="52" t="s">
        <v>214</v>
      </c>
      <c r="C9" s="57">
        <v>1.1000000000000001</v>
      </c>
      <c r="E9" s="54" t="s">
        <v>218</v>
      </c>
      <c r="F9" s="64">
        <f>F7*F8</f>
        <v>156750.78760393045</v>
      </c>
      <c r="H9" s="52" t="s">
        <v>236</v>
      </c>
      <c r="I9" s="40">
        <v>13419</v>
      </c>
      <c r="J9" s="68">
        <f>I9/I12</f>
        <v>0.28967080410145707</v>
      </c>
      <c r="K9" s="5" t="s">
        <v>240</v>
      </c>
    </row>
    <row r="10" spans="2:11" x14ac:dyDescent="0.2">
      <c r="B10" s="54" t="s">
        <v>215</v>
      </c>
      <c r="C10" s="69">
        <f>C7+(C8*C9)</f>
        <v>9.7400000000000014E-2</v>
      </c>
      <c r="E10" s="52" t="s">
        <v>221</v>
      </c>
      <c r="F10" s="63">
        <f>'Annual Model'!G29</f>
        <v>585.30303030303037</v>
      </c>
      <c r="H10" s="52" t="s">
        <v>237</v>
      </c>
      <c r="I10" s="40">
        <v>0</v>
      </c>
      <c r="J10" s="68">
        <f>I10/I12</f>
        <v>0</v>
      </c>
    </row>
    <row r="11" spans="2:11" x14ac:dyDescent="0.2">
      <c r="B11" s="52" t="s">
        <v>216</v>
      </c>
      <c r="C11" s="68">
        <f>F11/(F11+I8)</f>
        <v>0.82682241121474553</v>
      </c>
      <c r="E11" s="54" t="s">
        <v>222</v>
      </c>
      <c r="F11" s="64">
        <f>F7*F10</f>
        <v>157107.03939393943</v>
      </c>
      <c r="H11" s="52" t="s">
        <v>238</v>
      </c>
      <c r="I11" s="40">
        <v>0</v>
      </c>
      <c r="J11" s="68">
        <f>I11/I12</f>
        <v>0</v>
      </c>
    </row>
    <row r="12" spans="2:11" x14ac:dyDescent="0.2">
      <c r="B12" s="54" t="s">
        <v>217</v>
      </c>
      <c r="C12" s="69">
        <v>4.4999999999999998E-2</v>
      </c>
      <c r="E12" s="58" t="s">
        <v>223</v>
      </c>
      <c r="F12" s="65">
        <v>-3271</v>
      </c>
      <c r="H12" s="54" t="s">
        <v>239</v>
      </c>
      <c r="I12" s="27">
        <f>SUM(I8:I11)</f>
        <v>46325</v>
      </c>
      <c r="J12" s="100">
        <f>SUM(J8:J11)</f>
        <v>1</v>
      </c>
    </row>
    <row r="13" spans="2:11" x14ac:dyDescent="0.2">
      <c r="B13" s="52" t="s">
        <v>216</v>
      </c>
      <c r="C13" s="68">
        <f>I8/(F11+I8)</f>
        <v>0.17317758878525447</v>
      </c>
      <c r="E13" s="58" t="s">
        <v>224</v>
      </c>
      <c r="F13" s="66">
        <v>332</v>
      </c>
    </row>
    <row r="14" spans="2:11" x14ac:dyDescent="0.2">
      <c r="B14" s="52"/>
      <c r="C14" s="53"/>
      <c r="E14" s="58" t="s">
        <v>225</v>
      </c>
      <c r="F14" s="66">
        <f>32906+425</f>
        <v>33331</v>
      </c>
    </row>
    <row r="15" spans="2:11" x14ac:dyDescent="0.2">
      <c r="B15" s="54" t="s">
        <v>207</v>
      </c>
      <c r="C15" s="69">
        <f>(C10*C11)+(C12*C13)</f>
        <v>8.8325494347652675E-2</v>
      </c>
      <c r="E15" s="58" t="s">
        <v>226</v>
      </c>
      <c r="F15" s="66">
        <v>0</v>
      </c>
    </row>
    <row r="16" spans="2:11" x14ac:dyDescent="0.2">
      <c r="E16" s="58" t="s">
        <v>227</v>
      </c>
      <c r="F16" s="66">
        <v>3771</v>
      </c>
    </row>
    <row r="17" spans="3:8" x14ac:dyDescent="0.2">
      <c r="C17" s="17"/>
      <c r="E17" s="58" t="s">
        <v>228</v>
      </c>
      <c r="F17" s="66">
        <v>0</v>
      </c>
      <c r="H17" s="99"/>
    </row>
    <row r="18" spans="3:8" x14ac:dyDescent="0.2">
      <c r="E18" s="58" t="s">
        <v>229</v>
      </c>
      <c r="F18" s="67">
        <v>0</v>
      </c>
    </row>
    <row r="19" spans="3:8" x14ac:dyDescent="0.2">
      <c r="E19" s="54" t="s">
        <v>230</v>
      </c>
      <c r="F19" s="64">
        <f>SUM(F11:F18)</f>
        <v>191270.03939393943</v>
      </c>
    </row>
  </sheetData>
  <mergeCells count="3">
    <mergeCell ref="B6:C6"/>
    <mergeCell ref="E6:F6"/>
    <mergeCell ref="H6:J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7B200-3D2B-4F33-B42C-5CA4F6E11A30}">
  <dimension ref="B1:X46"/>
  <sheetViews>
    <sheetView showGridLines="0" zoomScale="115" zoomScaleNormal="115" workbookViewId="0">
      <pane xSplit="2" ySplit="6" topLeftCell="C10" activePane="bottomRight" state="frozen"/>
      <selection pane="topRight" activeCell="C1" sqref="C1"/>
      <selection pane="bottomLeft" activeCell="A7" sqref="A7"/>
      <selection pane="bottomRight" activeCell="Q34" sqref="Q34"/>
    </sheetView>
  </sheetViews>
  <sheetFormatPr defaultColWidth="8.85546875" defaultRowHeight="12.75" outlineLevelCol="1" x14ac:dyDescent="0.2"/>
  <cols>
    <col min="1" max="1" width="2.28515625" style="49" customWidth="1"/>
    <col min="2" max="2" width="55.28515625" style="49" customWidth="1"/>
    <col min="3" max="3" width="10.7109375" style="49" customWidth="1"/>
    <col min="4" max="4" width="12.5703125" style="49" hidden="1" customWidth="1" outlineLevel="1"/>
    <col min="5" max="5" width="10.7109375" style="49" hidden="1" customWidth="1" outlineLevel="1"/>
    <col min="6" max="6" width="18.28515625" style="49" customWidth="1" collapsed="1"/>
    <col min="7" max="10" width="10.7109375" style="49" hidden="1" customWidth="1" outlineLevel="1"/>
    <col min="11" max="11" width="12.140625" style="49" hidden="1" customWidth="1" outlineLevel="1"/>
    <col min="12" max="12" width="13.28515625" style="49" hidden="1" customWidth="1" outlineLevel="1"/>
    <col min="13" max="13" width="17.42578125" style="49" customWidth="1" collapsed="1"/>
    <col min="14" max="24" width="10.7109375" style="49" customWidth="1"/>
    <col min="25" max="16384" width="8.85546875" style="49"/>
  </cols>
  <sheetData>
    <row r="1" spans="2:24" ht="20.25" x14ac:dyDescent="0.3">
      <c r="B1" s="7" t="s">
        <v>10</v>
      </c>
    </row>
    <row r="2" spans="2:24" x14ac:dyDescent="0.2">
      <c r="B2" s="48" t="s">
        <v>266</v>
      </c>
    </row>
    <row r="5" spans="2:24" x14ac:dyDescent="0.2">
      <c r="B5" s="49" t="s">
        <v>267</v>
      </c>
    </row>
    <row r="9" spans="2:24" x14ac:dyDescent="0.2">
      <c r="G9" s="118" t="s">
        <v>280</v>
      </c>
      <c r="H9" s="118"/>
      <c r="I9" s="118"/>
      <c r="J9" s="118"/>
      <c r="K9" s="118"/>
      <c r="L9" s="118"/>
      <c r="M9" s="113"/>
      <c r="N9" s="118" t="s">
        <v>192</v>
      </c>
      <c r="O9" s="118"/>
      <c r="P9" s="118"/>
      <c r="Q9" s="118" t="s">
        <v>189</v>
      </c>
      <c r="R9" s="118"/>
      <c r="S9" s="118"/>
      <c r="T9" s="118" t="s">
        <v>27</v>
      </c>
      <c r="U9" s="118"/>
      <c r="V9" s="118"/>
      <c r="W9" s="118" t="s">
        <v>268</v>
      </c>
      <c r="X9" s="118"/>
    </row>
    <row r="10" spans="2:24" x14ac:dyDescent="0.2">
      <c r="B10" s="77" t="s">
        <v>269</v>
      </c>
      <c r="C10" s="78" t="s">
        <v>270</v>
      </c>
      <c r="D10" s="78" t="s">
        <v>219</v>
      </c>
      <c r="E10" s="78" t="s">
        <v>271</v>
      </c>
      <c r="F10" s="78" t="s">
        <v>272</v>
      </c>
      <c r="G10" s="78" t="s">
        <v>214</v>
      </c>
      <c r="H10" s="78" t="s">
        <v>273</v>
      </c>
      <c r="I10" s="78" t="s">
        <v>274</v>
      </c>
      <c r="J10" s="78" t="s">
        <v>275</v>
      </c>
      <c r="K10" s="78" t="s">
        <v>276</v>
      </c>
      <c r="L10" s="78" t="s">
        <v>277</v>
      </c>
      <c r="M10" s="78" t="s">
        <v>278</v>
      </c>
      <c r="N10" s="78" t="s">
        <v>279</v>
      </c>
      <c r="O10" s="78" t="s">
        <v>6</v>
      </c>
      <c r="P10" s="78" t="s">
        <v>7</v>
      </c>
      <c r="Q10" s="78" t="s">
        <v>279</v>
      </c>
      <c r="R10" s="78" t="s">
        <v>6</v>
      </c>
      <c r="S10" s="78" t="s">
        <v>7</v>
      </c>
      <c r="T10" s="78" t="s">
        <v>279</v>
      </c>
      <c r="U10" s="78" t="s">
        <v>6</v>
      </c>
      <c r="V10" s="78" t="s">
        <v>7</v>
      </c>
      <c r="W10" s="78" t="s">
        <v>192</v>
      </c>
      <c r="X10" s="78" t="s">
        <v>189</v>
      </c>
    </row>
    <row r="11" spans="2:24" s="5" customFormat="1" ht="12" x14ac:dyDescent="0.2">
      <c r="B11" s="5" t="s">
        <v>281</v>
      </c>
      <c r="C11" s="3" t="s">
        <v>285</v>
      </c>
      <c r="D11" s="18">
        <v>424.87</v>
      </c>
      <c r="E11" s="13">
        <v>1002</v>
      </c>
      <c r="F11" s="19">
        <f>D11*E11</f>
        <v>425719.74</v>
      </c>
      <c r="G11" s="32">
        <v>1.01</v>
      </c>
      <c r="H11" s="31">
        <v>0.24</v>
      </c>
      <c r="I11" s="13">
        <v>1531</v>
      </c>
      <c r="J11" s="13">
        <f>44111+777</f>
        <v>44888</v>
      </c>
      <c r="K11" s="13">
        <v>0</v>
      </c>
      <c r="L11" s="13">
        <v>0</v>
      </c>
      <c r="M11" s="19">
        <f>F11+I11+J11+K11+L11</f>
        <v>472138.74</v>
      </c>
      <c r="N11" s="13">
        <v>154596</v>
      </c>
      <c r="O11" s="13">
        <v>158391</v>
      </c>
      <c r="P11" s="13">
        <v>164060</v>
      </c>
      <c r="Q11" s="13">
        <v>24984</v>
      </c>
      <c r="R11" s="13">
        <v>25204</v>
      </c>
      <c r="S11" s="13">
        <v>26088</v>
      </c>
      <c r="T11" s="13">
        <v>14610</v>
      </c>
      <c r="U11" s="13">
        <v>14792</v>
      </c>
      <c r="V11" s="13">
        <v>15455</v>
      </c>
      <c r="W11" s="79">
        <f>P11/O11-1</f>
        <v>3.579117500363016E-2</v>
      </c>
      <c r="X11" s="79">
        <f>S11/R11-1</f>
        <v>3.507379780987141E-2</v>
      </c>
    </row>
    <row r="12" spans="2:24" s="5" customFormat="1" ht="12" x14ac:dyDescent="0.2">
      <c r="B12" s="5" t="s">
        <v>282</v>
      </c>
      <c r="C12" s="3" t="s">
        <v>287</v>
      </c>
      <c r="D12" s="18">
        <v>141.06</v>
      </c>
      <c r="E12" s="13">
        <v>461.5</v>
      </c>
      <c r="F12" s="19">
        <f>D12*E12</f>
        <v>65099.19</v>
      </c>
      <c r="G12" s="32">
        <v>1.24</v>
      </c>
      <c r="H12" s="31">
        <v>0.22</v>
      </c>
      <c r="I12" s="13">
        <v>3433</v>
      </c>
      <c r="J12" s="13">
        <f>16038</f>
        <v>16038</v>
      </c>
      <c r="K12" s="13">
        <v>0</v>
      </c>
      <c r="L12" s="13">
        <v>0</v>
      </c>
      <c r="M12" s="19">
        <f>F12+I12+J12+K12+L12</f>
        <v>84570.19</v>
      </c>
      <c r="N12" s="13">
        <v>107570</v>
      </c>
      <c r="O12" s="13">
        <v>106212</v>
      </c>
      <c r="P12" s="13">
        <v>109126</v>
      </c>
      <c r="Q12" s="13">
        <v>9013</v>
      </c>
      <c r="R12" s="13">
        <v>8352</v>
      </c>
      <c r="S12" s="13">
        <v>8711</v>
      </c>
      <c r="T12" s="13">
        <v>4370</v>
      </c>
      <c r="U12" s="13">
        <v>4000</v>
      </c>
      <c r="V12" s="13">
        <v>4207</v>
      </c>
      <c r="W12" s="79">
        <f t="shared" ref="W12:W15" si="0">P12/O12-1</f>
        <v>2.7435694648438869E-2</v>
      </c>
      <c r="X12" s="79">
        <f t="shared" ref="X12:X15" si="1">S12/R12-1</f>
        <v>4.298371647509569E-2</v>
      </c>
    </row>
    <row r="13" spans="2:24" s="5" customFormat="1" ht="12" x14ac:dyDescent="0.2">
      <c r="B13" s="5" t="s">
        <v>283</v>
      </c>
      <c r="C13" s="3" t="s">
        <v>289</v>
      </c>
      <c r="D13" s="18">
        <v>97.29</v>
      </c>
      <c r="E13" s="13">
        <v>8082</v>
      </c>
      <c r="F13" s="19">
        <f>D13*E13</f>
        <v>786297.78</v>
      </c>
      <c r="G13" s="32">
        <v>0.52</v>
      </c>
      <c r="H13" s="31">
        <v>0.22700000000000001</v>
      </c>
      <c r="I13" s="13">
        <v>10049</v>
      </c>
      <c r="J13" s="13">
        <f>39579+1071</f>
        <v>40650</v>
      </c>
      <c r="K13" s="13">
        <v>0</v>
      </c>
      <c r="L13" s="13">
        <v>-759</v>
      </c>
      <c r="M13" s="19">
        <f t="shared" ref="M13:M15" si="2">F13+I13+J13+K13+L13</f>
        <v>836237.78</v>
      </c>
      <c r="N13" s="13">
        <v>673819</v>
      </c>
      <c r="O13" s="13">
        <v>676620</v>
      </c>
      <c r="P13" s="13">
        <v>705450</v>
      </c>
      <c r="Q13" s="13">
        <v>42286</v>
      </c>
      <c r="R13" s="13">
        <v>42325</v>
      </c>
      <c r="S13" s="13">
        <v>46130</v>
      </c>
      <c r="T13" s="13">
        <v>19676</v>
      </c>
      <c r="U13" s="13">
        <v>19421</v>
      </c>
      <c r="V13" s="13">
        <v>21994</v>
      </c>
      <c r="W13" s="79">
        <f t="shared" si="0"/>
        <v>4.2608849871419663E-2</v>
      </c>
      <c r="X13" s="79">
        <f t="shared" si="1"/>
        <v>8.9899586532782072E-2</v>
      </c>
    </row>
    <row r="14" spans="2:24" s="5" customFormat="1" ht="12" x14ac:dyDescent="0.2">
      <c r="B14" s="5" t="s">
        <v>284</v>
      </c>
      <c r="C14" s="3" t="s">
        <v>290</v>
      </c>
      <c r="D14" s="18">
        <v>86.78</v>
      </c>
      <c r="E14" s="13">
        <v>216.7</v>
      </c>
      <c r="F14" s="19">
        <f>D14*E14</f>
        <v>18805.225999999999</v>
      </c>
      <c r="G14" s="32">
        <v>1.49</v>
      </c>
      <c r="H14" s="31">
        <v>0.23880000000000001</v>
      </c>
      <c r="I14" s="13">
        <v>643</v>
      </c>
      <c r="J14" s="13">
        <f>1152+13+16</f>
        <v>1181</v>
      </c>
      <c r="K14" s="13">
        <v>0</v>
      </c>
      <c r="L14" s="13">
        <v>0</v>
      </c>
      <c r="M14" s="19">
        <f t="shared" si="2"/>
        <v>20629.225999999999</v>
      </c>
      <c r="N14" s="13">
        <v>42226</v>
      </c>
      <c r="O14" s="13">
        <v>41276</v>
      </c>
      <c r="P14" s="13">
        <v>41827</v>
      </c>
      <c r="Q14" s="13">
        <v>2579</v>
      </c>
      <c r="R14" s="13">
        <v>2568</v>
      </c>
      <c r="S14" s="13">
        <v>2677</v>
      </c>
      <c r="T14" s="13">
        <v>1270</v>
      </c>
      <c r="U14" s="13">
        <v>1313</v>
      </c>
      <c r="V14" s="13">
        <v>1372</v>
      </c>
      <c r="W14" s="79">
        <f t="shared" si="0"/>
        <v>1.3349161740478621E-2</v>
      </c>
      <c r="X14" s="79">
        <f t="shared" si="1"/>
        <v>4.244548286604366E-2</v>
      </c>
    </row>
    <row r="15" spans="2:24" s="5" customFormat="1" ht="12" x14ac:dyDescent="0.2">
      <c r="B15" s="5" t="s">
        <v>288</v>
      </c>
      <c r="C15" s="3" t="s">
        <v>291</v>
      </c>
      <c r="D15" s="18">
        <v>958.67</v>
      </c>
      <c r="E15" s="13">
        <v>444.75</v>
      </c>
      <c r="F15" s="19">
        <f>D15*E15</f>
        <v>426368.48249999998</v>
      </c>
      <c r="G15" s="32">
        <v>0.79</v>
      </c>
      <c r="H15" s="31">
        <v>0.24360000000000001</v>
      </c>
      <c r="I15" s="13">
        <v>9906</v>
      </c>
      <c r="J15" s="13">
        <f>5919</f>
        <v>5919</v>
      </c>
      <c r="K15" s="13">
        <v>0</v>
      </c>
      <c r="L15" s="13">
        <v>0</v>
      </c>
      <c r="M15" s="19">
        <f t="shared" si="2"/>
        <v>442193.48249999998</v>
      </c>
      <c r="N15" s="13">
        <v>258805</v>
      </c>
      <c r="O15" s="13">
        <v>272619</v>
      </c>
      <c r="P15" s="13">
        <v>291802</v>
      </c>
      <c r="Q15" s="13">
        <v>12392</v>
      </c>
      <c r="R15" s="13">
        <v>12812</v>
      </c>
      <c r="S15" s="13">
        <v>14012</v>
      </c>
      <c r="T15" s="13">
        <v>7576</v>
      </c>
      <c r="U15" s="13">
        <v>8102</v>
      </c>
      <c r="V15" s="13">
        <v>8851</v>
      </c>
      <c r="W15" s="79">
        <f t="shared" si="0"/>
        <v>7.0365601810585376E-2</v>
      </c>
      <c r="X15" s="79">
        <f t="shared" si="1"/>
        <v>9.3662191695285779E-2</v>
      </c>
    </row>
    <row r="16" spans="2:24" s="5" customFormat="1" ht="12" x14ac:dyDescent="0.2">
      <c r="C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</row>
    <row r="17" spans="2:24" s="5" customFormat="1" ht="12" x14ac:dyDescent="0.2">
      <c r="B17" s="88" t="s">
        <v>294</v>
      </c>
      <c r="D17" s="89">
        <f>MAX(D11:D15)</f>
        <v>958.67</v>
      </c>
      <c r="E17" s="90"/>
      <c r="F17" s="89">
        <f>MAX(F11:F15)</f>
        <v>786297.78</v>
      </c>
      <c r="G17" s="90"/>
      <c r="H17" s="90"/>
      <c r="I17" s="90"/>
      <c r="J17" s="90"/>
      <c r="K17" s="90"/>
      <c r="L17" s="90"/>
      <c r="M17" s="89">
        <f t="shared" ref="M17:X17" si="3">MAX(M11:M15)</f>
        <v>836237.78</v>
      </c>
      <c r="N17" s="40">
        <f t="shared" si="3"/>
        <v>673819</v>
      </c>
      <c r="O17" s="40">
        <f t="shared" si="3"/>
        <v>676620</v>
      </c>
      <c r="P17" s="40">
        <f t="shared" si="3"/>
        <v>705450</v>
      </c>
      <c r="Q17" s="40">
        <f t="shared" si="3"/>
        <v>42286</v>
      </c>
      <c r="R17" s="40">
        <f t="shared" si="3"/>
        <v>42325</v>
      </c>
      <c r="S17" s="40">
        <f t="shared" si="3"/>
        <v>46130</v>
      </c>
      <c r="T17" s="40">
        <f t="shared" si="3"/>
        <v>19676</v>
      </c>
      <c r="U17" s="40">
        <f t="shared" si="3"/>
        <v>19421</v>
      </c>
      <c r="V17" s="40">
        <f t="shared" si="3"/>
        <v>21994</v>
      </c>
      <c r="W17" s="79">
        <f t="shared" si="3"/>
        <v>7.0365601810585376E-2</v>
      </c>
      <c r="X17" s="95">
        <f t="shared" si="3"/>
        <v>9.3662191695285779E-2</v>
      </c>
    </row>
    <row r="18" spans="2:24" s="5" customFormat="1" ht="12" x14ac:dyDescent="0.2">
      <c r="B18" s="52" t="s">
        <v>295</v>
      </c>
      <c r="C18" s="91"/>
      <c r="D18" s="91">
        <f>_xlfn.QUARTILE.EXC(D11:D15,3)</f>
        <v>691.77</v>
      </c>
      <c r="E18" s="91"/>
      <c r="F18" s="91">
        <f>_xlfn.QUARTILE.EXC(F11:F15,3)</f>
        <v>606333.13124999998</v>
      </c>
      <c r="G18" s="91"/>
      <c r="H18" s="91"/>
      <c r="I18" s="91"/>
      <c r="J18" s="91"/>
      <c r="K18" s="91"/>
      <c r="L18" s="91"/>
      <c r="M18" s="91">
        <f t="shared" ref="M18:X18" si="4">_xlfn.QUARTILE.EXC(M11:M15,3)</f>
        <v>654188.26</v>
      </c>
      <c r="N18" s="40">
        <f t="shared" si="4"/>
        <v>466312</v>
      </c>
      <c r="O18" s="40">
        <f t="shared" si="4"/>
        <v>474619.5</v>
      </c>
      <c r="P18" s="40">
        <f t="shared" si="4"/>
        <v>498626</v>
      </c>
      <c r="Q18" s="40">
        <f t="shared" si="4"/>
        <v>33635</v>
      </c>
      <c r="R18" s="40">
        <f t="shared" si="4"/>
        <v>33764.5</v>
      </c>
      <c r="S18" s="40">
        <f t="shared" si="4"/>
        <v>36109</v>
      </c>
      <c r="T18" s="40">
        <f t="shared" si="4"/>
        <v>17143</v>
      </c>
      <c r="U18" s="40">
        <f t="shared" si="4"/>
        <v>17106.5</v>
      </c>
      <c r="V18" s="40">
        <f t="shared" si="4"/>
        <v>18724.5</v>
      </c>
      <c r="W18" s="79">
        <f t="shared" si="4"/>
        <v>5.648722584100252E-2</v>
      </c>
      <c r="X18" s="96">
        <f t="shared" si="4"/>
        <v>9.1780889114033926E-2</v>
      </c>
    </row>
    <row r="19" spans="2:24" s="5" customFormat="1" ht="12" x14ac:dyDescent="0.2">
      <c r="B19" s="54" t="s">
        <v>296</v>
      </c>
      <c r="C19" s="9"/>
      <c r="D19" s="92">
        <f>MEDIAN(D11:D15)</f>
        <v>141.06</v>
      </c>
      <c r="E19" s="9"/>
      <c r="F19" s="92">
        <f>MEDIAN(F11:F15)</f>
        <v>425719.74</v>
      </c>
      <c r="G19" s="9"/>
      <c r="H19" s="9"/>
      <c r="I19" s="9"/>
      <c r="J19" s="9"/>
      <c r="K19" s="9"/>
      <c r="L19" s="9"/>
      <c r="M19" s="92">
        <f t="shared" ref="M19:X19" si="5">MEDIAN(M11:M15)</f>
        <v>442193.48249999998</v>
      </c>
      <c r="N19" s="27">
        <f t="shared" si="5"/>
        <v>154596</v>
      </c>
      <c r="O19" s="27">
        <f t="shared" si="5"/>
        <v>158391</v>
      </c>
      <c r="P19" s="27">
        <f t="shared" si="5"/>
        <v>164060</v>
      </c>
      <c r="Q19" s="27">
        <f t="shared" si="5"/>
        <v>12392</v>
      </c>
      <c r="R19" s="27">
        <f t="shared" si="5"/>
        <v>12812</v>
      </c>
      <c r="S19" s="27">
        <f t="shared" si="5"/>
        <v>14012</v>
      </c>
      <c r="T19" s="27">
        <f t="shared" si="5"/>
        <v>7576</v>
      </c>
      <c r="U19" s="27">
        <f t="shared" si="5"/>
        <v>8102</v>
      </c>
      <c r="V19" s="27">
        <f t="shared" si="5"/>
        <v>8851</v>
      </c>
      <c r="W19" s="101">
        <f t="shared" si="5"/>
        <v>3.579117500363016E-2</v>
      </c>
      <c r="X19" s="69">
        <f t="shared" si="5"/>
        <v>4.298371647509569E-2</v>
      </c>
    </row>
    <row r="20" spans="2:24" s="5" customFormat="1" ht="12" x14ac:dyDescent="0.2">
      <c r="B20" s="52" t="s">
        <v>297</v>
      </c>
      <c r="D20" s="91">
        <f>_xlfn.QUARTILE.EXC(D11:D15,1)</f>
        <v>92.034999999999997</v>
      </c>
      <c r="F20" s="91">
        <f>_xlfn.QUARTILE.EXC(F11:F15,1)</f>
        <v>41952.207999999999</v>
      </c>
      <c r="M20" s="91">
        <f t="shared" ref="M20:X20" si="6">_xlfn.QUARTILE.EXC(M11:M15,1)</f>
        <v>52599.707999999999</v>
      </c>
      <c r="N20" s="40">
        <f t="shared" si="6"/>
        <v>74898</v>
      </c>
      <c r="O20" s="40">
        <f t="shared" si="6"/>
        <v>73744</v>
      </c>
      <c r="P20" s="40">
        <f t="shared" si="6"/>
        <v>75476.5</v>
      </c>
      <c r="Q20" s="40">
        <f t="shared" si="6"/>
        <v>5796</v>
      </c>
      <c r="R20" s="40">
        <f t="shared" si="6"/>
        <v>5460</v>
      </c>
      <c r="S20" s="40">
        <f t="shared" si="6"/>
        <v>5694</v>
      </c>
      <c r="T20" s="40">
        <f t="shared" si="6"/>
        <v>2820</v>
      </c>
      <c r="U20" s="40">
        <f t="shared" si="6"/>
        <v>2656.5</v>
      </c>
      <c r="V20" s="40">
        <f t="shared" si="6"/>
        <v>2789.5</v>
      </c>
      <c r="W20" s="79">
        <f t="shared" si="6"/>
        <v>2.0392428194458745E-2</v>
      </c>
      <c r="X20" s="95">
        <f t="shared" si="6"/>
        <v>3.8759640337957535E-2</v>
      </c>
    </row>
    <row r="21" spans="2:24" s="5" customFormat="1" ht="12" x14ac:dyDescent="0.2">
      <c r="B21" s="93" t="s">
        <v>298</v>
      </c>
      <c r="C21" s="43"/>
      <c r="D21" s="94">
        <f>MIN(D11:D15)</f>
        <v>86.78</v>
      </c>
      <c r="E21" s="43"/>
      <c r="F21" s="94">
        <f>MIN(F11:F15)</f>
        <v>18805.225999999999</v>
      </c>
      <c r="G21" s="43"/>
      <c r="H21" s="43"/>
      <c r="I21" s="43"/>
      <c r="J21" s="43"/>
      <c r="K21" s="43"/>
      <c r="L21" s="43"/>
      <c r="M21" s="94">
        <f t="shared" ref="M21:X21" si="7">MIN(M11:M15)</f>
        <v>20629.225999999999</v>
      </c>
      <c r="N21" s="97">
        <f t="shared" si="7"/>
        <v>42226</v>
      </c>
      <c r="O21" s="97">
        <f t="shared" si="7"/>
        <v>41276</v>
      </c>
      <c r="P21" s="97">
        <f t="shared" si="7"/>
        <v>41827</v>
      </c>
      <c r="Q21" s="97">
        <f t="shared" si="7"/>
        <v>2579</v>
      </c>
      <c r="R21" s="97">
        <f t="shared" si="7"/>
        <v>2568</v>
      </c>
      <c r="S21" s="97">
        <f t="shared" si="7"/>
        <v>2677</v>
      </c>
      <c r="T21" s="97">
        <f t="shared" si="7"/>
        <v>1270</v>
      </c>
      <c r="U21" s="97">
        <f t="shared" si="7"/>
        <v>1313</v>
      </c>
      <c r="V21" s="97">
        <f t="shared" si="7"/>
        <v>1372</v>
      </c>
      <c r="W21" s="98">
        <f t="shared" si="7"/>
        <v>1.3349161740478621E-2</v>
      </c>
      <c r="X21" s="96">
        <f t="shared" si="7"/>
        <v>3.507379780987141E-2</v>
      </c>
    </row>
    <row r="22" spans="2:24" s="5" customFormat="1" ht="12" x14ac:dyDescent="0.2"/>
    <row r="23" spans="2:24" s="5" customFormat="1" ht="12" x14ac:dyDescent="0.2"/>
    <row r="24" spans="2:24" s="5" customFormat="1" ht="12" x14ac:dyDescent="0.2">
      <c r="B24" s="54" t="s">
        <v>292</v>
      </c>
      <c r="C24" s="80" t="s">
        <v>293</v>
      </c>
      <c r="D24" s="81">
        <v>268.42</v>
      </c>
      <c r="E24" s="87">
        <v>585</v>
      </c>
      <c r="F24" s="81">
        <f>D24*E24</f>
        <v>157025.70000000001</v>
      </c>
      <c r="G24" s="82">
        <v>1.1000000000000001</v>
      </c>
      <c r="H24" s="84">
        <v>0.25</v>
      </c>
      <c r="I24" s="85">
        <v>3271</v>
      </c>
      <c r="J24" s="85">
        <v>32906</v>
      </c>
      <c r="K24" s="85">
        <v>0</v>
      </c>
      <c r="L24" s="85">
        <v>0</v>
      </c>
      <c r="M24" s="81">
        <f>F24+I24+J24+K24+L24</f>
        <v>193202.7</v>
      </c>
      <c r="N24" s="85">
        <v>83722</v>
      </c>
      <c r="O24" s="85">
        <v>83332</v>
      </c>
      <c r="P24" s="85">
        <v>84678</v>
      </c>
      <c r="Q24" s="85">
        <v>12428</v>
      </c>
      <c r="R24" s="85">
        <v>12170</v>
      </c>
      <c r="S24" s="85">
        <v>12495</v>
      </c>
      <c r="T24" s="85">
        <v>6853</v>
      </c>
      <c r="U24" s="85">
        <v>6845</v>
      </c>
      <c r="V24" s="85">
        <v>7023</v>
      </c>
      <c r="W24" s="86">
        <f>P24/O24-1</f>
        <v>1.6152258436134881E-2</v>
      </c>
      <c r="X24" s="86">
        <f>S24/R24-1</f>
        <v>2.6705012325390243E-2</v>
      </c>
    </row>
    <row r="25" spans="2:24" s="5" customFormat="1" ht="12" x14ac:dyDescent="0.2"/>
    <row r="26" spans="2:24" s="5" customFormat="1" ht="12" x14ac:dyDescent="0.2"/>
    <row r="27" spans="2:24" s="5" customFormat="1" ht="12" x14ac:dyDescent="0.2"/>
    <row r="28" spans="2:24" s="5" customFormat="1" ht="12" x14ac:dyDescent="0.2"/>
    <row r="29" spans="2:24" s="5" customFormat="1" ht="12" x14ac:dyDescent="0.2"/>
    <row r="30" spans="2:24" s="5" customFormat="1" ht="12" x14ac:dyDescent="0.2"/>
    <row r="31" spans="2:24" x14ac:dyDescent="0.2">
      <c r="B31" s="5"/>
      <c r="C31" s="5"/>
      <c r="D31" s="5"/>
      <c r="E31" s="5"/>
      <c r="F31" s="5"/>
      <c r="G31" s="119" t="s">
        <v>280</v>
      </c>
      <c r="H31" s="119"/>
      <c r="I31" s="119"/>
      <c r="J31" s="119"/>
      <c r="K31" s="119"/>
      <c r="L31" s="119"/>
      <c r="M31" s="112"/>
      <c r="N31" s="119" t="s">
        <v>299</v>
      </c>
      <c r="O31" s="119"/>
      <c r="P31" s="119"/>
      <c r="Q31" s="119" t="s">
        <v>300</v>
      </c>
      <c r="R31" s="119"/>
      <c r="S31" s="119"/>
      <c r="T31" s="119" t="s">
        <v>301</v>
      </c>
      <c r="U31" s="119"/>
      <c r="V31" s="119"/>
    </row>
    <row r="32" spans="2:24" x14ac:dyDescent="0.2">
      <c r="B32" s="83" t="s">
        <v>269</v>
      </c>
      <c r="C32" s="80" t="s">
        <v>270</v>
      </c>
      <c r="D32" s="80"/>
      <c r="E32" s="80"/>
      <c r="F32" s="80" t="s">
        <v>272</v>
      </c>
      <c r="G32" s="80"/>
      <c r="H32" s="80"/>
      <c r="I32" s="80"/>
      <c r="J32" s="80"/>
      <c r="K32" s="80"/>
      <c r="L32" s="80"/>
      <c r="M32" s="80" t="s">
        <v>278</v>
      </c>
      <c r="N32" s="80" t="s">
        <v>279</v>
      </c>
      <c r="O32" s="80" t="s">
        <v>6</v>
      </c>
      <c r="P32" s="80" t="s">
        <v>7</v>
      </c>
      <c r="Q32" s="80" t="s">
        <v>279</v>
      </c>
      <c r="R32" s="80" t="s">
        <v>6</v>
      </c>
      <c r="S32" s="80" t="s">
        <v>7</v>
      </c>
      <c r="T32" s="80" t="s">
        <v>279</v>
      </c>
      <c r="U32" s="80" t="s">
        <v>6</v>
      </c>
      <c r="V32" s="80" t="s">
        <v>7</v>
      </c>
    </row>
    <row r="33" spans="2:22" x14ac:dyDescent="0.2">
      <c r="B33" s="5" t="s">
        <v>281</v>
      </c>
      <c r="C33" s="3" t="s">
        <v>285</v>
      </c>
      <c r="F33" s="102">
        <f>F11</f>
        <v>425719.74</v>
      </c>
      <c r="M33" s="102">
        <f>M11</f>
        <v>472138.74</v>
      </c>
      <c r="N33" s="103">
        <f>IFERROR(IF(OR($M11/N11&lt;0,$M11/N11&gt;=100), "NM", $M11/N11), "N/A")</f>
        <v>3.0540165334161298</v>
      </c>
      <c r="O33" s="103">
        <f t="shared" ref="O33:S33" si="8">IFERROR(IF(OR($M11/O11&lt;0,$M11/O11&gt;=100), "NM", $M11/O11), "N/A")</f>
        <v>2.9808432297289618</v>
      </c>
      <c r="P33" s="103">
        <f t="shared" si="8"/>
        <v>2.8778418871144704</v>
      </c>
      <c r="Q33" s="103">
        <f t="shared" si="8"/>
        <v>18.897644092219021</v>
      </c>
      <c r="R33" s="103">
        <f t="shared" si="8"/>
        <v>18.732690842723375</v>
      </c>
      <c r="S33" s="103">
        <f t="shared" si="8"/>
        <v>18.097927782888686</v>
      </c>
      <c r="T33" s="103">
        <f>IFERROR(IF(OR($F11/T11&lt;0,$F11/T11&gt;=100), "NM", $F11/T11), "N/A")</f>
        <v>29.138928131416836</v>
      </c>
      <c r="U33" s="103">
        <f t="shared" ref="U33:V33" si="9">IFERROR(IF(OR($F11/U11&lt;0,$F11/U11&gt;=100), "NM", $F11/U11), "N/A")</f>
        <v>28.780404272579773</v>
      </c>
      <c r="V33" s="103">
        <f t="shared" si="9"/>
        <v>27.545761242316402</v>
      </c>
    </row>
    <row r="34" spans="2:22" x14ac:dyDescent="0.2">
      <c r="B34" s="5" t="s">
        <v>282</v>
      </c>
      <c r="C34" s="3" t="s">
        <v>287</v>
      </c>
      <c r="F34" s="102">
        <f t="shared" ref="F34:F37" si="10">F12</f>
        <v>65099.19</v>
      </c>
      <c r="M34" s="102">
        <f t="shared" ref="M34:M37" si="11">M12</f>
        <v>84570.19</v>
      </c>
      <c r="N34" s="103">
        <f>IFERROR(IF(OR($M12/N12&lt;0,$M12/N12&gt;=100), "NM", $M12/N12), "N/A")</f>
        <v>0.78618750581017016</v>
      </c>
      <c r="O34" s="103">
        <f t="shared" ref="O34:S34" si="12">IFERROR(IF(OR($M12/O12&lt;0,$M12/O12&gt;=100), "NM", $M12/O12), "N/A")</f>
        <v>0.79623950212781991</v>
      </c>
      <c r="P34" s="103">
        <f t="shared" si="12"/>
        <v>0.77497745725125089</v>
      </c>
      <c r="Q34" s="103">
        <f t="shared" si="12"/>
        <v>9.3831343614778664</v>
      </c>
      <c r="R34" s="103">
        <f t="shared" si="12"/>
        <v>10.125741139846744</v>
      </c>
      <c r="S34" s="103">
        <f t="shared" si="12"/>
        <v>9.7084364596487198</v>
      </c>
      <c r="T34" s="103">
        <f>IFERROR(IF(OR($F12/T12&lt;0,$F12/T12&gt;=100), "NM", $F12/T12), "N/A")</f>
        <v>14.896839816933639</v>
      </c>
      <c r="U34" s="103">
        <f t="shared" ref="U34:V34" si="13">IFERROR(IF(OR($F12/U12&lt;0,$F12/U12&gt;=100), "NM", $F12/U12), "N/A")</f>
        <v>16.274797500000002</v>
      </c>
      <c r="V34" s="103">
        <f t="shared" si="13"/>
        <v>15.474017114333254</v>
      </c>
    </row>
    <row r="35" spans="2:22" x14ac:dyDescent="0.2">
      <c r="B35" s="5" t="s">
        <v>283</v>
      </c>
      <c r="C35" s="3" t="s">
        <v>289</v>
      </c>
      <c r="F35" s="102">
        <f t="shared" si="10"/>
        <v>786297.78</v>
      </c>
      <c r="M35" s="102">
        <f t="shared" si="11"/>
        <v>836237.78</v>
      </c>
      <c r="N35" s="103">
        <f>IFERROR(IF(OR($M13/N13&lt;0,$M13/N13&gt;=100), "NM", $M13/N13), "N/A")</f>
        <v>1.2410421493012218</v>
      </c>
      <c r="O35" s="103">
        <f t="shared" ref="O35:S35" si="14">IFERROR(IF(OR($M13/O13&lt;0,$M13/O13&gt;=100), "NM", $M13/O13), "N/A")</f>
        <v>1.2359046141113181</v>
      </c>
      <c r="P35" s="103">
        <f t="shared" si="14"/>
        <v>1.185396243532497</v>
      </c>
      <c r="Q35" s="103">
        <f t="shared" si="14"/>
        <v>19.775759825947123</v>
      </c>
      <c r="R35" s="103">
        <f t="shared" si="14"/>
        <v>19.757537625516836</v>
      </c>
      <c r="S35" s="103">
        <f t="shared" si="14"/>
        <v>18.127851289833082</v>
      </c>
      <c r="T35" s="103">
        <f>IFERROR(IF(OR($F13/T13&lt;0,$F13/T13&gt;=100), "NM", $F13/T13), "N/A")</f>
        <v>39.962277902012609</v>
      </c>
      <c r="U35" s="103">
        <f t="shared" ref="U35:V35" si="15">IFERROR(IF(OR($F13/U13&lt;0,$F13/U13&gt;=100), "NM", $F13/U13), "N/A")</f>
        <v>40.486987281808354</v>
      </c>
      <c r="V35" s="103">
        <f t="shared" si="15"/>
        <v>35.750558334091117</v>
      </c>
    </row>
    <row r="36" spans="2:22" x14ac:dyDescent="0.2">
      <c r="B36" s="5" t="s">
        <v>284</v>
      </c>
      <c r="C36" s="3" t="s">
        <v>290</v>
      </c>
      <c r="F36" s="102">
        <f t="shared" si="10"/>
        <v>18805.225999999999</v>
      </c>
      <c r="M36" s="102">
        <f t="shared" si="11"/>
        <v>20629.225999999999</v>
      </c>
      <c r="N36" s="103">
        <f>IFERROR(IF(OR($M14/N14&lt;0,$M14/N14&gt;=100), "NM", $M14/N14), "N/A")</f>
        <v>0.48854321981717425</v>
      </c>
      <c r="O36" s="103">
        <f t="shared" ref="O36:S36" si="16">IFERROR(IF(OR($M14/O14&lt;0,$M14/O14&gt;=100), "NM", $M14/O14), "N/A")</f>
        <v>0.49978743095261163</v>
      </c>
      <c r="P36" s="103">
        <f t="shared" si="16"/>
        <v>0.4932035766371004</v>
      </c>
      <c r="Q36" s="103">
        <f t="shared" si="16"/>
        <v>7.9989243892981774</v>
      </c>
      <c r="R36" s="103">
        <f t="shared" si="16"/>
        <v>8.0331876947040488</v>
      </c>
      <c r="S36" s="103">
        <f t="shared" si="16"/>
        <v>7.7060986178558082</v>
      </c>
      <c r="T36" s="103">
        <f>IFERROR(IF(OR($F14/T14&lt;0,$F14/T14&gt;=100), "NM", $F14/T14), "N/A")</f>
        <v>14.807264566929133</v>
      </c>
      <c r="U36" s="103">
        <f t="shared" ref="U36:V36" si="17">IFERROR(IF(OR($F14/U14&lt;0,$F14/U14&gt;=100), "NM", $F14/U14), "N/A")</f>
        <v>14.322335110434119</v>
      </c>
      <c r="V36" s="103">
        <f t="shared" si="17"/>
        <v>13.706432944606414</v>
      </c>
    </row>
    <row r="37" spans="2:22" x14ac:dyDescent="0.2">
      <c r="B37" s="5" t="s">
        <v>288</v>
      </c>
      <c r="C37" s="3" t="s">
        <v>291</v>
      </c>
      <c r="F37" s="102">
        <f t="shared" si="10"/>
        <v>426368.48249999998</v>
      </c>
      <c r="M37" s="102">
        <f t="shared" si="11"/>
        <v>442193.48249999998</v>
      </c>
      <c r="N37" s="103">
        <f>IFERROR(IF(OR($M15/N15&lt;0,$M15/N15&gt;=100), "NM", $M15/N15), "N/A")</f>
        <v>1.7085971387724348</v>
      </c>
      <c r="O37" s="103">
        <f t="shared" ref="O37:S37" si="18">IFERROR(IF(OR($M15/O15&lt;0,$M15/O15&gt;=100), "NM", $M15/O15), "N/A")</f>
        <v>1.6220200444576496</v>
      </c>
      <c r="P37" s="103">
        <f t="shared" si="18"/>
        <v>1.515388799596987</v>
      </c>
      <c r="Q37" s="103">
        <f t="shared" si="18"/>
        <v>35.683786515493864</v>
      </c>
      <c r="R37" s="103">
        <f t="shared" si="18"/>
        <v>34.514008936934125</v>
      </c>
      <c r="S37" s="103">
        <f t="shared" si="18"/>
        <v>31.558198865258348</v>
      </c>
      <c r="T37" s="103">
        <f>IFERROR(IF(OR($F15/T15&lt;0,$F15/T15&gt;=100), "NM", $F15/T15), "N/A")</f>
        <v>56.278838767159449</v>
      </c>
      <c r="U37" s="103">
        <f t="shared" ref="U37:V37" si="19">IFERROR(IF(OR($F15/U15&lt;0,$F15/U15&gt;=100), "NM", $F15/U15), "N/A")</f>
        <v>52.62509040977536</v>
      </c>
      <c r="V37" s="103">
        <f t="shared" si="19"/>
        <v>48.17178652129703</v>
      </c>
    </row>
    <row r="38" spans="2:22" x14ac:dyDescent="0.2">
      <c r="C38" s="104"/>
      <c r="N38" s="104"/>
      <c r="O38" s="104"/>
      <c r="P38" s="104"/>
      <c r="Q38" s="104"/>
      <c r="R38" s="104"/>
      <c r="S38" s="104"/>
      <c r="T38" s="104"/>
      <c r="U38" s="104"/>
      <c r="V38" s="104"/>
    </row>
    <row r="39" spans="2:22" x14ac:dyDescent="0.2">
      <c r="B39" s="88" t="s">
        <v>294</v>
      </c>
      <c r="C39" s="5"/>
      <c r="D39" s="89"/>
      <c r="E39" s="90"/>
      <c r="F39" s="89">
        <f>MAX(F33:F37)</f>
        <v>786297.78</v>
      </c>
      <c r="G39" s="90"/>
      <c r="H39" s="90"/>
      <c r="I39" s="90"/>
      <c r="J39" s="90"/>
      <c r="K39" s="90"/>
      <c r="L39" s="90"/>
      <c r="M39" s="89">
        <f>MAX(M33:M37)</f>
        <v>836237.78</v>
      </c>
      <c r="N39" s="103">
        <f>MAX(N33:N37)</f>
        <v>3.0540165334161298</v>
      </c>
      <c r="O39" s="103">
        <f>MAX(O33:O37)</f>
        <v>2.9808432297289618</v>
      </c>
      <c r="P39" s="103">
        <f t="shared" ref="P39:V39" si="20">MAX(P33:P37)</f>
        <v>2.8778418871144704</v>
      </c>
      <c r="Q39" s="103">
        <f t="shared" si="20"/>
        <v>35.683786515493864</v>
      </c>
      <c r="R39" s="103">
        <f t="shared" si="20"/>
        <v>34.514008936934125</v>
      </c>
      <c r="S39" s="103">
        <f t="shared" si="20"/>
        <v>31.558198865258348</v>
      </c>
      <c r="T39" s="103">
        <f t="shared" si="20"/>
        <v>56.278838767159449</v>
      </c>
      <c r="U39" s="103">
        <f t="shared" si="20"/>
        <v>52.62509040977536</v>
      </c>
      <c r="V39" s="105">
        <f t="shared" si="20"/>
        <v>48.17178652129703</v>
      </c>
    </row>
    <row r="40" spans="2:22" x14ac:dyDescent="0.2">
      <c r="B40" s="52" t="s">
        <v>295</v>
      </c>
      <c r="C40" s="91"/>
      <c r="D40" s="91"/>
      <c r="E40" s="91"/>
      <c r="F40" s="91">
        <f>_xlfn.QUARTILE.EXC(F33:F37,3)</f>
        <v>606333.13124999998</v>
      </c>
      <c r="G40" s="91"/>
      <c r="H40" s="91"/>
      <c r="I40" s="91"/>
      <c r="J40" s="91"/>
      <c r="K40" s="91"/>
      <c r="L40" s="91"/>
      <c r="M40" s="91">
        <f>_xlfn.QUARTILE.EXC(M33:M37,3)</f>
        <v>654188.26</v>
      </c>
      <c r="N40" s="103">
        <f>_xlfn.QUARTILE.EXC(N33:N37,3)</f>
        <v>2.3813068360942822</v>
      </c>
      <c r="O40" s="103">
        <f t="shared" ref="O40:V40" si="21">_xlfn.QUARTILE.EXC(O33:O37,3)</f>
        <v>2.3014316370933057</v>
      </c>
      <c r="P40" s="103">
        <f t="shared" si="21"/>
        <v>2.1966153433557287</v>
      </c>
      <c r="Q40" s="103">
        <f t="shared" si="21"/>
        <v>27.729773170720492</v>
      </c>
      <c r="R40" s="103">
        <f t="shared" si="21"/>
        <v>27.135773281225482</v>
      </c>
      <c r="S40" s="103">
        <f t="shared" si="21"/>
        <v>24.843025077545715</v>
      </c>
      <c r="T40" s="103">
        <f t="shared" si="21"/>
        <v>48.120558334586029</v>
      </c>
      <c r="U40" s="103">
        <f t="shared" si="21"/>
        <v>46.556038845791861</v>
      </c>
      <c r="V40" s="106">
        <f t="shared" si="21"/>
        <v>41.961172427694073</v>
      </c>
    </row>
    <row r="41" spans="2:22" x14ac:dyDescent="0.2">
      <c r="B41" s="54" t="s">
        <v>296</v>
      </c>
      <c r="C41" s="9"/>
      <c r="D41" s="92"/>
      <c r="E41" s="9"/>
      <c r="F41" s="92">
        <f>MEDIAN(F33:F37)</f>
        <v>425719.74</v>
      </c>
      <c r="G41" s="9"/>
      <c r="H41" s="9"/>
      <c r="I41" s="9"/>
      <c r="J41" s="9"/>
      <c r="K41" s="9"/>
      <c r="L41" s="9"/>
      <c r="M41" s="92">
        <f>MEDIAN(M33:M37)</f>
        <v>442193.48249999998</v>
      </c>
      <c r="N41" s="107">
        <f>MEDIAN(N33:N37)</f>
        <v>1.2410421493012218</v>
      </c>
      <c r="O41" s="107">
        <f t="shared" ref="O41:V41" si="22">MEDIAN(O33:O37)</f>
        <v>1.2359046141113181</v>
      </c>
      <c r="P41" s="107">
        <f t="shared" si="22"/>
        <v>1.185396243532497</v>
      </c>
      <c r="Q41" s="107">
        <f t="shared" si="22"/>
        <v>18.897644092219021</v>
      </c>
      <c r="R41" s="107">
        <f t="shared" si="22"/>
        <v>18.732690842723375</v>
      </c>
      <c r="S41" s="107">
        <f t="shared" si="22"/>
        <v>18.097927782888686</v>
      </c>
      <c r="T41" s="107">
        <f t="shared" si="22"/>
        <v>29.138928131416836</v>
      </c>
      <c r="U41" s="107">
        <f t="shared" si="22"/>
        <v>28.780404272579773</v>
      </c>
      <c r="V41" s="109">
        <f t="shared" si="22"/>
        <v>27.545761242316402</v>
      </c>
    </row>
    <row r="42" spans="2:22" x14ac:dyDescent="0.2">
      <c r="B42" s="52" t="s">
        <v>297</v>
      </c>
      <c r="C42" s="5"/>
      <c r="D42" s="91"/>
      <c r="E42" s="5"/>
      <c r="F42" s="91">
        <f>_xlfn.QUARTILE.EXC(F33:F37,1)</f>
        <v>41952.207999999999</v>
      </c>
      <c r="G42" s="5"/>
      <c r="H42" s="5"/>
      <c r="I42" s="5"/>
      <c r="J42" s="5"/>
      <c r="K42" s="5"/>
      <c r="L42" s="5"/>
      <c r="M42" s="91">
        <f>_xlfn.QUARTILE.EXC(M33:M37,1)</f>
        <v>52599.707999999999</v>
      </c>
      <c r="N42" s="103">
        <f>_xlfn.QUARTILE.EXC(N33:N37,1)</f>
        <v>0.63736536281367218</v>
      </c>
      <c r="O42" s="103">
        <f t="shared" ref="O42:V42" si="23">_xlfn.QUARTILE.EXC(O33:O37,1)</f>
        <v>0.64801346654021574</v>
      </c>
      <c r="P42" s="103">
        <f t="shared" si="23"/>
        <v>0.63409051694417562</v>
      </c>
      <c r="Q42" s="103">
        <f t="shared" si="23"/>
        <v>8.6910293753880214</v>
      </c>
      <c r="R42" s="103">
        <f t="shared" si="23"/>
        <v>9.0794644172753962</v>
      </c>
      <c r="S42" s="103">
        <f t="shared" si="23"/>
        <v>8.707267538752264</v>
      </c>
      <c r="T42" s="103">
        <f t="shared" si="23"/>
        <v>14.852052191931385</v>
      </c>
      <c r="U42" s="103">
        <f t="shared" si="23"/>
        <v>15.298566305217062</v>
      </c>
      <c r="V42" s="110">
        <f t="shared" si="23"/>
        <v>14.590225029469835</v>
      </c>
    </row>
    <row r="43" spans="2:22" x14ac:dyDescent="0.2">
      <c r="B43" s="93" t="s">
        <v>298</v>
      </c>
      <c r="C43" s="43"/>
      <c r="D43" s="94"/>
      <c r="E43" s="43"/>
      <c r="F43" s="94">
        <f>MIN(F33:F37)</f>
        <v>18805.225999999999</v>
      </c>
      <c r="G43" s="43"/>
      <c r="H43" s="43"/>
      <c r="I43" s="43"/>
      <c r="J43" s="43"/>
      <c r="K43" s="43"/>
      <c r="L43" s="43"/>
      <c r="M43" s="94">
        <f>MIN(M33:M37)</f>
        <v>20629.225999999999</v>
      </c>
      <c r="N43" s="108">
        <f>MIN(N33:N37)</f>
        <v>0.48854321981717425</v>
      </c>
      <c r="O43" s="108">
        <f t="shared" ref="O43:V43" si="24">MIN(O33:O37)</f>
        <v>0.49978743095261163</v>
      </c>
      <c r="P43" s="108">
        <f t="shared" si="24"/>
        <v>0.4932035766371004</v>
      </c>
      <c r="Q43" s="108">
        <f t="shared" si="24"/>
        <v>7.9989243892981774</v>
      </c>
      <c r="R43" s="108">
        <f t="shared" si="24"/>
        <v>8.0331876947040488</v>
      </c>
      <c r="S43" s="108">
        <f t="shared" si="24"/>
        <v>7.7060986178558082</v>
      </c>
      <c r="T43" s="108">
        <f>MIN(T33:T37)</f>
        <v>14.807264566929133</v>
      </c>
      <c r="U43" s="108">
        <f t="shared" si="24"/>
        <v>14.322335110434119</v>
      </c>
      <c r="V43" s="106">
        <f t="shared" si="24"/>
        <v>13.706432944606414</v>
      </c>
    </row>
    <row r="46" spans="2:22" x14ac:dyDescent="0.2">
      <c r="B46" s="54" t="s">
        <v>292</v>
      </c>
      <c r="C46" s="80"/>
      <c r="D46" s="81"/>
      <c r="E46" s="87"/>
      <c r="F46" s="81">
        <f>F24</f>
        <v>157025.70000000001</v>
      </c>
      <c r="G46" s="82"/>
      <c r="H46" s="84"/>
      <c r="I46" s="85"/>
      <c r="J46" s="85"/>
      <c r="K46" s="85"/>
      <c r="L46" s="85"/>
      <c r="M46" s="81">
        <f>M24</f>
        <v>193202.7</v>
      </c>
      <c r="N46" s="107">
        <f>IFERROR(IF(OR($M24/N24&lt;0,$M24/N24&gt;=100), "NM",$M24/N24), "N/A")</f>
        <v>2.3076694297795086</v>
      </c>
      <c r="O46" s="107">
        <f t="shared" ref="O46:S46" si="25">IFERROR(IF(OR($M24/O24&lt;0,$M24/O24&gt;=100), "NM",$M24/O24), "N/A")</f>
        <v>2.3184694955119283</v>
      </c>
      <c r="P46" s="107">
        <f t="shared" si="25"/>
        <v>2.2816162403457807</v>
      </c>
      <c r="Q46" s="107">
        <f t="shared" si="25"/>
        <v>15.545759575152882</v>
      </c>
      <c r="R46" s="107">
        <f t="shared" si="25"/>
        <v>15.87532456861134</v>
      </c>
      <c r="S46" s="107">
        <f t="shared" si="25"/>
        <v>15.462400960384155</v>
      </c>
      <c r="T46" s="107">
        <f>IFERROR(IF(OR($F24/T24&lt;0,$F24/T24&gt;=100), "NM",$F24/T24), "N/A")</f>
        <v>22.913424777469722</v>
      </c>
      <c r="U46" s="107">
        <f t="shared" ref="U46:V46" si="26">IFERROR(IF(OR($F24/U24&lt;0,$F24/U24&gt;=100), "NM",$F24/U24), "N/A")</f>
        <v>22.94020452885318</v>
      </c>
      <c r="V46" s="107">
        <f t="shared" si="26"/>
        <v>22.358778299871851</v>
      </c>
    </row>
  </sheetData>
  <mergeCells count="9">
    <mergeCell ref="W9:X9"/>
    <mergeCell ref="G9:L9"/>
    <mergeCell ref="N9:P9"/>
    <mergeCell ref="G31:L31"/>
    <mergeCell ref="N31:P31"/>
    <mergeCell ref="Q31:S31"/>
    <mergeCell ref="T31:V31"/>
    <mergeCell ref="Q9:S9"/>
    <mergeCell ref="T9:V9"/>
  </mergeCell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30634-C6AF-4DE8-A2B9-F87FE8E4E585}">
  <dimension ref="B1:L18"/>
  <sheetViews>
    <sheetView showGridLines="0" zoomScale="115" zoomScaleNormal="11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21" sqref="E21"/>
    </sheetView>
  </sheetViews>
  <sheetFormatPr defaultColWidth="9.140625" defaultRowHeight="12" x14ac:dyDescent="0.2"/>
  <cols>
    <col min="1" max="1" width="2.28515625" style="5" customWidth="1"/>
    <col min="2" max="2" width="56.5703125" style="5" customWidth="1"/>
    <col min="3" max="16384" width="9.140625" style="5"/>
  </cols>
  <sheetData>
    <row r="1" spans="2:12" ht="20.25" x14ac:dyDescent="0.3">
      <c r="B1" s="7" t="s">
        <v>10</v>
      </c>
      <c r="C1" s="111"/>
    </row>
    <row r="2" spans="2:12" x14ac:dyDescent="0.2">
      <c r="B2" s="6" t="s">
        <v>286</v>
      </c>
    </row>
    <row r="5" spans="2:12" x14ac:dyDescent="0.2">
      <c r="B5" s="5" t="s">
        <v>267</v>
      </c>
      <c r="C5" s="2">
        <v>43861</v>
      </c>
      <c r="D5" s="2">
        <v>44225</v>
      </c>
      <c r="E5" s="2">
        <v>44589</v>
      </c>
      <c r="F5" s="2">
        <v>44960</v>
      </c>
      <c r="G5" s="2">
        <v>45324</v>
      </c>
      <c r="H5" s="3"/>
      <c r="I5" s="3"/>
      <c r="J5" s="3"/>
      <c r="K5" s="3"/>
    </row>
    <row r="6" spans="2:12" x14ac:dyDescent="0.2">
      <c r="C6" s="4" t="s">
        <v>2</v>
      </c>
      <c r="D6" s="4" t="s">
        <v>3</v>
      </c>
      <c r="E6" s="4" t="s">
        <v>4</v>
      </c>
      <c r="F6" s="4" t="s">
        <v>5</v>
      </c>
      <c r="G6" s="4" t="s">
        <v>104</v>
      </c>
      <c r="H6" s="4" t="s">
        <v>6</v>
      </c>
      <c r="I6" s="4" t="s">
        <v>7</v>
      </c>
      <c r="J6" s="4" t="s">
        <v>8</v>
      </c>
      <c r="K6" s="4" t="s">
        <v>9</v>
      </c>
      <c r="L6" s="4" t="s">
        <v>102</v>
      </c>
    </row>
    <row r="9" spans="2:12" ht="12.75" x14ac:dyDescent="0.2">
      <c r="B9" s="77" t="s">
        <v>304</v>
      </c>
      <c r="C9" s="77"/>
      <c r="D9" s="77"/>
      <c r="E9" s="77"/>
      <c r="F9" s="77"/>
      <c r="G9" s="77"/>
      <c r="H9" s="77"/>
      <c r="I9" s="77"/>
      <c r="J9" s="77"/>
      <c r="K9" s="77"/>
      <c r="L9" s="77"/>
    </row>
    <row r="10" spans="2:12" x14ac:dyDescent="0.2">
      <c r="B10" s="5" t="s">
        <v>300</v>
      </c>
      <c r="C10" s="103">
        <f>WACC!$F$19/DCF!C16</f>
        <v>25.246837301206366</v>
      </c>
      <c r="D10" s="103">
        <f>WACC!$F$19/DCF!D16</f>
        <v>17.31577398098311</v>
      </c>
      <c r="E10" s="103">
        <f>WACC!$F$19/DCF!E16</f>
        <v>13.905491777094833</v>
      </c>
      <c r="F10" s="103">
        <f>WACC!$F$19/DCF!F16</f>
        <v>16.039416301378569</v>
      </c>
      <c r="G10" s="103">
        <f>WACC!$F$19/DCF!G16</f>
        <v>14.409374671835124</v>
      </c>
      <c r="H10" s="103">
        <f>WACC!$F$19/DCF!H16</f>
        <v>16.742500194681924</v>
      </c>
      <c r="I10" s="103">
        <f>WACC!$F$19/DCF!I16</f>
        <v>16.43465256664134</v>
      </c>
      <c r="J10" s="103">
        <f>WACC!$F$19/DCF!J16</f>
        <v>15.851570264105991</v>
      </c>
      <c r="K10" s="103">
        <f>WACC!$F$19/DCF!K16</f>
        <v>15.186469413863774</v>
      </c>
      <c r="L10" s="103">
        <f>WACC!$F$19/DCF!L16</f>
        <v>14.602374436407473</v>
      </c>
    </row>
    <row r="11" spans="2:12" x14ac:dyDescent="0.2">
      <c r="B11" s="5" t="s">
        <v>307</v>
      </c>
      <c r="C11" s="103">
        <f>WACC!$F$19/DCF!C20</f>
        <v>31.020116671089756</v>
      </c>
      <c r="D11" s="103">
        <f>WACC!$F$19/DCF!D20</f>
        <v>20.235933071724443</v>
      </c>
      <c r="E11" s="103">
        <f>WACC!$F$19/DCF!E20</f>
        <v>16.109663892355716</v>
      </c>
      <c r="F11" s="103">
        <f>WACC!$F$19/DCF!F20</f>
        <v>19.234718362222388</v>
      </c>
      <c r="G11" s="103">
        <f>WACC!$F$19/DCF!G20</f>
        <v>16.850501224027788</v>
      </c>
      <c r="H11" s="103">
        <f>WACC!$F$19/DCF!H20</f>
        <v>19.636689323915267</v>
      </c>
      <c r="I11" s="103">
        <f>WACC!$F$19/DCF!I20</f>
        <v>19.360479308072492</v>
      </c>
      <c r="J11" s="103">
        <f>WACC!$F$19/DCF!J20</f>
        <v>18.684106991063302</v>
      </c>
      <c r="K11" s="103">
        <f>WACC!$F$19/DCF!K20</f>
        <v>17.888715132242226</v>
      </c>
      <c r="L11" s="103">
        <f>WACC!$F$19/DCF!L20</f>
        <v>17.200854430987473</v>
      </c>
    </row>
    <row r="12" spans="2:12" x14ac:dyDescent="0.2">
      <c r="B12" s="5" t="s">
        <v>302</v>
      </c>
      <c r="C12" s="103">
        <f>WACC!$F$19/DCF!C11</f>
        <v>2.6510788849855773</v>
      </c>
      <c r="D12" s="103">
        <f>WACC!$F$19/DCF!D11</f>
        <v>2.1347817381601999</v>
      </c>
      <c r="E12" s="103">
        <f>WACC!$F$19/DCF!E11</f>
        <v>1.9872211885084616</v>
      </c>
      <c r="F12" s="103">
        <f>WACC!$F$19/DCF!F11</f>
        <v>1.9706574289240506</v>
      </c>
      <c r="G12" s="103">
        <f>WACC!$F$19/DCF!G11</f>
        <v>2.2143630757486301</v>
      </c>
      <c r="H12" s="103">
        <f>WACC!$F$19/DCF!H11</f>
        <v>2.2769800264767404</v>
      </c>
      <c r="I12" s="103">
        <f>WACC!$F$19/DCF!I11</f>
        <v>2.2433300753465426</v>
      </c>
      <c r="J12" s="103">
        <f>WACC!$F$19/DCF!J11</f>
        <v>2.1716651261825195</v>
      </c>
      <c r="K12" s="103">
        <f>WACC!$F$19/DCF!K11</f>
        <v>2.0881395444062689</v>
      </c>
      <c r="L12" s="103">
        <f>WACC!$F$19/DCF!L11</f>
        <v>2.0078264850060275</v>
      </c>
    </row>
    <row r="13" spans="2:12" x14ac:dyDescent="0.2">
      <c r="B13" s="5" t="s">
        <v>303</v>
      </c>
      <c r="C13" s="103">
        <f>WACC!$F$19/DCF!C31</f>
        <v>80.861392979420174</v>
      </c>
      <c r="D13" s="103">
        <f>WACC!$F$19/DCF!D31</f>
        <v>21.674748357527051</v>
      </c>
      <c r="E13" s="103">
        <f>WACC!$F$19/DCF!E31</f>
        <v>24.381493882823108</v>
      </c>
      <c r="F13" s="103">
        <f>WACC!$F$19/DCF!F31</f>
        <v>43.931399328349642</v>
      </c>
      <c r="G13" s="103">
        <f>WACC!$F$19/DCF!G31</f>
        <v>30.121498678034769</v>
      </c>
      <c r="H13" s="103">
        <f>WACC!$F$19/DCF!H31</f>
        <v>24.804825796474745</v>
      </c>
      <c r="I13" s="103">
        <f>WACC!$F$19/DCF!I31</f>
        <v>26.442970251091893</v>
      </c>
      <c r="J13" s="103">
        <f>WACC!$F$19/DCF!J31</f>
        <v>25.107209331454065</v>
      </c>
      <c r="K13" s="103">
        <f>WACC!$F$19/DCF!K31</f>
        <v>24.110305546205343</v>
      </c>
      <c r="L13" s="103">
        <f>WACC!$F$19/DCF!L31</f>
        <v>23.201694670730252</v>
      </c>
    </row>
    <row r="14" spans="2:12" x14ac:dyDescent="0.2">
      <c r="C14" s="103"/>
      <c r="D14" s="103"/>
      <c r="E14" s="103"/>
      <c r="F14" s="103"/>
      <c r="G14" s="103"/>
      <c r="H14" s="103"/>
      <c r="I14" s="103"/>
      <c r="J14" s="103"/>
      <c r="K14" s="103"/>
      <c r="L14" s="103"/>
    </row>
    <row r="15" spans="2:12" ht="12.75" x14ac:dyDescent="0.2">
      <c r="B15" s="77" t="s">
        <v>305</v>
      </c>
      <c r="C15" s="77"/>
      <c r="D15" s="77"/>
      <c r="E15" s="77"/>
      <c r="F15" s="77"/>
      <c r="G15" s="77"/>
      <c r="H15" s="77"/>
      <c r="I15" s="77"/>
      <c r="J15" s="77"/>
      <c r="K15" s="77"/>
      <c r="L15" s="77"/>
    </row>
    <row r="16" spans="2:12" x14ac:dyDescent="0.2">
      <c r="B16" s="5" t="s">
        <v>306</v>
      </c>
      <c r="C16" s="103">
        <f>'Annual Model'!C25</f>
        <v>5.49</v>
      </c>
      <c r="D16" s="103">
        <f>'Annual Model'!D25</f>
        <v>7.77</v>
      </c>
      <c r="E16" s="103">
        <f>'Annual Model'!E25</f>
        <v>12.07</v>
      </c>
      <c r="F16" s="103">
        <f>'Annual Model'!F25</f>
        <v>10.199999999999999</v>
      </c>
      <c r="G16" s="103">
        <f>'Annual Model'!G25</f>
        <v>13.23</v>
      </c>
      <c r="H16" s="103">
        <f>'Annual Model'!H25</f>
        <v>11.29817635652236</v>
      </c>
      <c r="I16" s="103">
        <f>'Annual Model'!I25</f>
        <v>12.152845963462603</v>
      </c>
      <c r="J16" s="103">
        <f>'Annual Model'!J25</f>
        <v>13.246387859748936</v>
      </c>
      <c r="K16" s="103">
        <f>'Annual Model'!K25</f>
        <v>14.398522401975585</v>
      </c>
      <c r="L16" s="103">
        <f>'Annual Model'!L25</f>
        <v>15.564641140934082</v>
      </c>
    </row>
    <row r="17" spans="2:12" x14ac:dyDescent="0.2">
      <c r="B17" s="5" t="s">
        <v>308</v>
      </c>
      <c r="C17" s="103">
        <f>WACC!$F$11/DCF!C11</f>
        <v>2.1775661056985562</v>
      </c>
      <c r="D17" s="103">
        <f>WACC!$F$11/DCF!D11</f>
        <v>1.753485489401871</v>
      </c>
      <c r="E17" s="103">
        <f>WACC!$F$11/DCF!E11</f>
        <v>1.6322809287682019</v>
      </c>
      <c r="F17" s="103">
        <f>WACC!$F$11/DCF!F11</f>
        <v>1.6186756446485069</v>
      </c>
      <c r="G17" s="103">
        <f>WACC!$F$11/DCF!G11</f>
        <v>1.8188526968283156</v>
      </c>
      <c r="H17" s="103">
        <f>WACC!$F$11/DCF!H11</f>
        <v>1.8702855494378565</v>
      </c>
      <c r="I17" s="103">
        <f>WACC!$F$11/DCF!I11</f>
        <v>1.8426458615151298</v>
      </c>
      <c r="J17" s="103">
        <f>WACC!$F$11/DCF!J11</f>
        <v>1.7837810856874443</v>
      </c>
      <c r="K17" s="103">
        <f>WACC!$F$11/DCF!K11</f>
        <v>1.715174120853312</v>
      </c>
      <c r="L17" s="103">
        <f>WACC!$F$11/DCF!L11</f>
        <v>1.6492058854358767</v>
      </c>
    </row>
    <row r="18" spans="2:12" x14ac:dyDescent="0.2">
      <c r="B18" s="5" t="s">
        <v>309</v>
      </c>
      <c r="C18" s="103">
        <f>WACC!$F$11/'Annual Model'!C99</f>
        <v>36.570539896168398</v>
      </c>
      <c r="D18" s="103">
        <f>WACC!$F$11/'Annual Model'!D99</f>
        <v>14.219118417407858</v>
      </c>
      <c r="E18" s="103">
        <f>WACC!$F$11/'Annual Model'!E99</f>
        <v>15.53515666903386</v>
      </c>
      <c r="F18" s="103">
        <f>WACC!$F$11/'Annual Model'!F99</f>
        <v>18.291656699725163</v>
      </c>
      <c r="G18" s="103">
        <f>WACC!$F$11/'Annual Model'!G99</f>
        <v>19.300619090164549</v>
      </c>
      <c r="H18" s="103">
        <f>WACC!$F$11/'Annual Model'!H99</f>
        <v>16.632032316707555</v>
      </c>
      <c r="I18" s="103">
        <f>WACC!$F$11/'Annual Model'!I99</f>
        <v>17.544595968969219</v>
      </c>
      <c r="J18" s="103">
        <f>WACC!$F$11/'Annual Model'!J99</f>
        <v>16.974855756210832</v>
      </c>
      <c r="K18" s="103">
        <f>WACC!$F$11/'Annual Model'!K99</f>
        <v>16.2431827689513</v>
      </c>
      <c r="L18" s="103">
        <f>WACC!$F$11/'Annual Model'!L99</f>
        <v>15.571444960792691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Summary</vt:lpstr>
      <vt:lpstr>Assumptions</vt:lpstr>
      <vt:lpstr>Annual Model</vt:lpstr>
      <vt:lpstr>DCF</vt:lpstr>
      <vt:lpstr>WACC</vt:lpstr>
      <vt:lpstr>Comps</vt:lpstr>
      <vt:lpstr>Multiples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Doan</dc:creator>
  <cp:lastModifiedBy>Harrison Doan</cp:lastModifiedBy>
  <dcterms:created xsi:type="dcterms:W3CDTF">2025-01-22T18:46:30Z</dcterms:created>
  <dcterms:modified xsi:type="dcterms:W3CDTF">2026-06-15T20:40:46Z</dcterms:modified>
</cp:coreProperties>
</file>