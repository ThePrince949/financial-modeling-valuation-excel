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4f7b5c9908051a/OneDrive Desktop/Financial Modeling/Financial Model ^N2 - HD/"/>
    </mc:Choice>
  </mc:AlternateContent>
  <xr:revisionPtr revIDLastSave="3312" documentId="14_{6BF57188-4409-4E05-87E3-464109DC86F7}" xr6:coauthVersionLast="47" xr6:coauthVersionMax="47" xr10:uidLastSave="{981D46E7-1C5C-4735-A893-3AAEBF7DFA76}"/>
  <bookViews>
    <workbookView xWindow="-120" yWindow="-120" windowWidth="38640" windowHeight="21120" activeTab="3" xr2:uid="{94AF2834-7774-482C-A3AD-192F6DD8436D}"/>
  </bookViews>
  <sheets>
    <sheet name="Summary" sheetId="2" r:id="rId1"/>
    <sheet name="Assumptions" sheetId="8" r:id="rId2"/>
    <sheet name="IS Scenario Analysis" sheetId="6" r:id="rId3"/>
    <sheet name="Annual Model" sheetId="7" r:id="rId4"/>
    <sheet name="Quarterly Model" sheetId="4" r:id="rId5"/>
    <sheet name="Key Metrics" sheetId="9" r:id="rId6"/>
    <sheet name="DCF" sheetId="11" r:id="rId7"/>
    <sheet name="WACC" sheetId="12" r:id="rId8"/>
    <sheet name="Comps" sheetId="17" r:id="rId9"/>
    <sheet name="Precedents" sheetId="18" r:id="rId10"/>
    <sheet name="Charts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2" i="17" l="1"/>
  <c r="N30" i="17"/>
  <c r="W11" i="17"/>
  <c r="M11" i="17"/>
  <c r="F11" i="17"/>
  <c r="T15" i="11" l="1"/>
  <c r="T14" i="11"/>
  <c r="T13" i="11"/>
  <c r="G36" i="11"/>
  <c r="D16" i="12"/>
  <c r="D12" i="12"/>
  <c r="D14" i="12"/>
  <c r="D11" i="12"/>
  <c r="K9" i="12"/>
  <c r="G21" i="12"/>
  <c r="G13" i="12"/>
  <c r="C33" i="11"/>
  <c r="C27" i="11"/>
  <c r="C25" i="11"/>
  <c r="G65" i="7"/>
  <c r="G116" i="7"/>
  <c r="G115" i="7"/>
  <c r="G272" i="7" l="1"/>
  <c r="G227" i="7"/>
  <c r="H223" i="7"/>
  <c r="G40" i="7"/>
  <c r="G44" i="7" l="1"/>
  <c r="G97" i="7"/>
  <c r="E208" i="7"/>
  <c r="D208" i="7"/>
  <c r="C207" i="7"/>
  <c r="G182" i="7" l="1"/>
  <c r="H151" i="7"/>
  <c r="G45" i="8"/>
  <c r="G43" i="8"/>
  <c r="F45" i="8"/>
  <c r="F191" i="7"/>
  <c r="H172" i="7"/>
  <c r="H150" i="7"/>
  <c r="H149" i="7"/>
  <c r="G180" i="7"/>
  <c r="G172" i="7"/>
  <c r="G171" i="7"/>
  <c r="I150" i="7"/>
  <c r="G150" i="7"/>
  <c r="G149" i="7"/>
  <c r="C17" i="7" l="1"/>
  <c r="C15" i="7"/>
  <c r="M39" i="17"/>
  <c r="F39" i="17"/>
  <c r="M37" i="17"/>
  <c r="F37" i="17"/>
  <c r="M38" i="17"/>
  <c r="F38" i="17"/>
  <c r="O39" i="17"/>
  <c r="P39" i="17"/>
  <c r="Q39" i="17"/>
  <c r="R39" i="17"/>
  <c r="S39" i="17"/>
  <c r="T39" i="17"/>
  <c r="U39" i="17"/>
  <c r="V39" i="17"/>
  <c r="O37" i="17"/>
  <c r="P37" i="17"/>
  <c r="Q37" i="17"/>
  <c r="R37" i="17"/>
  <c r="S37" i="17"/>
  <c r="T37" i="17"/>
  <c r="U37" i="17"/>
  <c r="V37" i="17"/>
  <c r="N39" i="17"/>
  <c r="N37" i="17"/>
  <c r="O38" i="17"/>
  <c r="P38" i="17"/>
  <c r="Q38" i="17"/>
  <c r="R38" i="17"/>
  <c r="S38" i="17"/>
  <c r="T38" i="17"/>
  <c r="U38" i="17"/>
  <c r="V38" i="17"/>
  <c r="N38" i="17"/>
  <c r="V40" i="17"/>
  <c r="U40" i="17"/>
  <c r="T40" i="17"/>
  <c r="S40" i="17"/>
  <c r="R40" i="17"/>
  <c r="Q40" i="17"/>
  <c r="P40" i="17"/>
  <c r="O40" i="17"/>
  <c r="N40" i="17"/>
  <c r="M40" i="17"/>
  <c r="F40" i="17"/>
  <c r="V36" i="17"/>
  <c r="U36" i="17"/>
  <c r="T36" i="17"/>
  <c r="S36" i="17"/>
  <c r="R36" i="17"/>
  <c r="Q36" i="17"/>
  <c r="P36" i="17"/>
  <c r="O36" i="17"/>
  <c r="N36" i="17"/>
  <c r="M36" i="17"/>
  <c r="F36" i="17"/>
  <c r="X24" i="17"/>
  <c r="J24" i="17"/>
  <c r="F24" i="17"/>
  <c r="M24" i="17" s="1"/>
  <c r="V22" i="17"/>
  <c r="U22" i="17"/>
  <c r="T22" i="17"/>
  <c r="S22" i="17"/>
  <c r="R22" i="17"/>
  <c r="Q22" i="17"/>
  <c r="P22" i="17"/>
  <c r="O22" i="17"/>
  <c r="N22" i="17"/>
  <c r="D22" i="17"/>
  <c r="V21" i="17"/>
  <c r="U21" i="17"/>
  <c r="T21" i="17"/>
  <c r="S21" i="17"/>
  <c r="R21" i="17"/>
  <c r="Q21" i="17"/>
  <c r="P21" i="17"/>
  <c r="O21" i="17"/>
  <c r="N21" i="17"/>
  <c r="D21" i="17"/>
  <c r="V20" i="17"/>
  <c r="U20" i="17"/>
  <c r="T20" i="17"/>
  <c r="S20" i="17"/>
  <c r="R20" i="17"/>
  <c r="Q20" i="17"/>
  <c r="P20" i="17"/>
  <c r="O20" i="17"/>
  <c r="N20" i="17"/>
  <c r="D20" i="17"/>
  <c r="V19" i="17"/>
  <c r="U19" i="17"/>
  <c r="T19" i="17"/>
  <c r="S19" i="17"/>
  <c r="R19" i="17"/>
  <c r="Q19" i="17"/>
  <c r="P19" i="17"/>
  <c r="O19" i="17"/>
  <c r="N19" i="17"/>
  <c r="D19" i="17"/>
  <c r="X12" i="17"/>
  <c r="X13" i="17"/>
  <c r="X14" i="17"/>
  <c r="X15" i="17"/>
  <c r="X11" i="17"/>
  <c r="X19" i="17" s="1"/>
  <c r="W12" i="17"/>
  <c r="W13" i="17"/>
  <c r="W22" i="17" s="1"/>
  <c r="W14" i="17"/>
  <c r="W15" i="17"/>
  <c r="V18" i="17"/>
  <c r="U18" i="17"/>
  <c r="T18" i="17"/>
  <c r="S18" i="17"/>
  <c r="R18" i="17"/>
  <c r="Q18" i="17"/>
  <c r="P18" i="17"/>
  <c r="O18" i="17"/>
  <c r="N18" i="17"/>
  <c r="D18" i="17"/>
  <c r="I11" i="17"/>
  <c r="F12" i="17"/>
  <c r="F31" i="17" s="1"/>
  <c r="F13" i="17"/>
  <c r="M13" i="17" s="1"/>
  <c r="M32" i="17" s="1"/>
  <c r="F14" i="17"/>
  <c r="M14" i="17" s="1"/>
  <c r="M33" i="17" s="1"/>
  <c r="F15" i="17"/>
  <c r="M15" i="17" s="1"/>
  <c r="M34" i="17" s="1"/>
  <c r="F30" i="17"/>
  <c r="X18" i="17" l="1"/>
  <c r="N33" i="17"/>
  <c r="U30" i="17"/>
  <c r="U33" i="17"/>
  <c r="S42" i="17"/>
  <c r="W21" i="17"/>
  <c r="N34" i="17"/>
  <c r="T31" i="17"/>
  <c r="V32" i="17"/>
  <c r="R42" i="17"/>
  <c r="R33" i="17"/>
  <c r="T32" i="17"/>
  <c r="U32" i="17"/>
  <c r="Q33" i="17"/>
  <c r="T33" i="17"/>
  <c r="V31" i="17"/>
  <c r="P33" i="17"/>
  <c r="T34" i="17"/>
  <c r="U31" i="17"/>
  <c r="Q42" i="17"/>
  <c r="W19" i="17"/>
  <c r="F21" i="17"/>
  <c r="O32" i="17"/>
  <c r="V34" i="17"/>
  <c r="F42" i="17"/>
  <c r="T42" i="17"/>
  <c r="T30" i="17"/>
  <c r="U34" i="17"/>
  <c r="M42" i="17"/>
  <c r="V42" i="17"/>
  <c r="V30" i="17"/>
  <c r="V33" i="17"/>
  <c r="U42" i="17"/>
  <c r="X22" i="17"/>
  <c r="F19" i="17"/>
  <c r="X21" i="17"/>
  <c r="R34" i="17"/>
  <c r="O33" i="17"/>
  <c r="W18" i="17"/>
  <c r="W20" i="17"/>
  <c r="Q34" i="17"/>
  <c r="S32" i="17"/>
  <c r="F20" i="17"/>
  <c r="X20" i="17"/>
  <c r="F22" i="17"/>
  <c r="P34" i="17"/>
  <c r="R32" i="17"/>
  <c r="F18" i="17"/>
  <c r="S34" i="17"/>
  <c r="O34" i="17"/>
  <c r="Q32" i="17"/>
  <c r="N32" i="17"/>
  <c r="S33" i="17"/>
  <c r="P32" i="17"/>
  <c r="F34" i="17"/>
  <c r="F33" i="17"/>
  <c r="F32" i="17"/>
  <c r="J11" i="17" l="1"/>
  <c r="J12" i="17"/>
  <c r="M12" i="17" s="1"/>
  <c r="Q25" i="11"/>
  <c r="T25" i="11"/>
  <c r="M30" i="17" l="1"/>
  <c r="P30" i="17"/>
  <c r="O30" i="17"/>
  <c r="Q30" i="17"/>
  <c r="M22" i="17"/>
  <c r="M21" i="17"/>
  <c r="R30" i="17"/>
  <c r="S30" i="17"/>
  <c r="M19" i="17"/>
  <c r="M20" i="17"/>
  <c r="M18" i="17"/>
  <c r="M31" i="17"/>
  <c r="O31" i="17"/>
  <c r="N31" i="17"/>
  <c r="P31" i="17"/>
  <c r="Q31" i="17"/>
  <c r="R31" i="17"/>
  <c r="S31" i="17"/>
  <c r="G11" i="12" l="1"/>
  <c r="G9" i="12"/>
  <c r="G10" i="12" s="1"/>
  <c r="J9" i="12"/>
  <c r="G35" i="11" l="1"/>
  <c r="J14" i="12"/>
  <c r="K13" i="12" s="1"/>
  <c r="H35" i="11" l="1"/>
  <c r="K11" i="12"/>
  <c r="K10" i="12"/>
  <c r="K14" i="12" l="1"/>
  <c r="I35" i="11"/>
  <c r="H36" i="11"/>
  <c r="I36" i="11" l="1"/>
  <c r="J35" i="11"/>
  <c r="K35" i="11" l="1"/>
  <c r="J36" i="11"/>
  <c r="D31" i="11"/>
  <c r="E31" i="11"/>
  <c r="F31" i="11"/>
  <c r="C31" i="11"/>
  <c r="L35" i="11" l="1"/>
  <c r="K36" i="11"/>
  <c r="D29" i="11"/>
  <c r="E29" i="11"/>
  <c r="F29" i="11"/>
  <c r="C29" i="11"/>
  <c r="C30" i="11" s="1"/>
  <c r="D28" i="11"/>
  <c r="E28" i="11"/>
  <c r="F28" i="11"/>
  <c r="C28" i="11"/>
  <c r="D26" i="11"/>
  <c r="E26" i="11"/>
  <c r="F26" i="11"/>
  <c r="C26" i="11"/>
  <c r="D20" i="11"/>
  <c r="E20" i="11"/>
  <c r="F20" i="11"/>
  <c r="C20" i="11"/>
  <c r="D16" i="11"/>
  <c r="E16" i="11"/>
  <c r="F16" i="11"/>
  <c r="C16" i="11"/>
  <c r="D13" i="11"/>
  <c r="E13" i="11"/>
  <c r="F13" i="11"/>
  <c r="C13" i="11"/>
  <c r="D11" i="11"/>
  <c r="D32" i="11" s="1"/>
  <c r="E11" i="11"/>
  <c r="F11" i="11"/>
  <c r="C11" i="11"/>
  <c r="F30" i="11" l="1"/>
  <c r="D30" i="11"/>
  <c r="E30" i="11"/>
  <c r="M35" i="11"/>
  <c r="M36" i="11" s="1"/>
  <c r="L36" i="11"/>
  <c r="F17" i="11"/>
  <c r="F32" i="11"/>
  <c r="E15" i="11"/>
  <c r="E14" i="11" s="1"/>
  <c r="E32" i="11"/>
  <c r="D21" i="11"/>
  <c r="E21" i="11"/>
  <c r="C15" i="11"/>
  <c r="C14" i="11" s="1"/>
  <c r="F15" i="11"/>
  <c r="F14" i="11" s="1"/>
  <c r="D17" i="11"/>
  <c r="C17" i="11"/>
  <c r="C21" i="11"/>
  <c r="F21" i="11"/>
  <c r="D12" i="11"/>
  <c r="F12" i="11"/>
  <c r="E17" i="11"/>
  <c r="E12" i="11"/>
  <c r="D15" i="11"/>
  <c r="D21" i="2"/>
  <c r="D23" i="2" s="1"/>
  <c r="E21" i="2"/>
  <c r="E23" i="2" s="1"/>
  <c r="F21" i="2"/>
  <c r="F23" i="2" s="1"/>
  <c r="C21" i="2"/>
  <c r="C22" i="2" s="1"/>
  <c r="E24" i="9"/>
  <c r="F24" i="9"/>
  <c r="D24" i="9"/>
  <c r="F5" i="11"/>
  <c r="E5" i="11"/>
  <c r="D5" i="11"/>
  <c r="C5" i="11"/>
  <c r="D44" i="9"/>
  <c r="E44" i="9"/>
  <c r="F44" i="9"/>
  <c r="G44" i="9"/>
  <c r="H44" i="9"/>
  <c r="I44" i="9"/>
  <c r="J44" i="9"/>
  <c r="K44" i="9"/>
  <c r="L44" i="9"/>
  <c r="M44" i="9"/>
  <c r="C44" i="9"/>
  <c r="D43" i="9"/>
  <c r="E43" i="9"/>
  <c r="F43" i="9"/>
  <c r="C43" i="9"/>
  <c r="D42" i="9"/>
  <c r="E42" i="9"/>
  <c r="F42" i="9"/>
  <c r="C42" i="9"/>
  <c r="D41" i="9"/>
  <c r="E41" i="9"/>
  <c r="F41" i="9"/>
  <c r="C41" i="9"/>
  <c r="D40" i="9"/>
  <c r="E40" i="9"/>
  <c r="F40" i="9"/>
  <c r="C40" i="9"/>
  <c r="D39" i="9"/>
  <c r="E39" i="9"/>
  <c r="F39" i="9"/>
  <c r="C39" i="9"/>
  <c r="D34" i="9"/>
  <c r="E34" i="9"/>
  <c r="F34" i="9"/>
  <c r="C34" i="9"/>
  <c r="D33" i="9"/>
  <c r="E33" i="9"/>
  <c r="F33" i="9"/>
  <c r="C33" i="9"/>
  <c r="D32" i="9"/>
  <c r="E32" i="9"/>
  <c r="F32" i="9"/>
  <c r="C32" i="9"/>
  <c r="D31" i="9"/>
  <c r="E31" i="9"/>
  <c r="F31" i="9"/>
  <c r="C31" i="9"/>
  <c r="D29" i="9"/>
  <c r="E29" i="9"/>
  <c r="F29" i="9"/>
  <c r="D27" i="9"/>
  <c r="D30" i="9" s="1"/>
  <c r="E27" i="9"/>
  <c r="F27" i="9"/>
  <c r="C29" i="9"/>
  <c r="C27" i="9"/>
  <c r="C30" i="9" s="1"/>
  <c r="C35" i="9" s="1"/>
  <c r="C36" i="9" s="1"/>
  <c r="D23" i="9"/>
  <c r="E23" i="9"/>
  <c r="F23" i="9"/>
  <c r="C23" i="9"/>
  <c r="D18" i="9"/>
  <c r="E18" i="9"/>
  <c r="F18" i="9"/>
  <c r="C18" i="9"/>
  <c r="D17" i="9"/>
  <c r="E17" i="9"/>
  <c r="F17" i="9"/>
  <c r="C17" i="9"/>
  <c r="D15" i="9"/>
  <c r="E15" i="9"/>
  <c r="F15" i="9"/>
  <c r="C15" i="9"/>
  <c r="D14" i="9"/>
  <c r="E14" i="9"/>
  <c r="F14" i="9"/>
  <c r="C14" i="9"/>
  <c r="D12" i="9"/>
  <c r="E12" i="9"/>
  <c r="F12" i="9"/>
  <c r="C12" i="9"/>
  <c r="D11" i="9"/>
  <c r="E11" i="9"/>
  <c r="F11" i="9"/>
  <c r="C11" i="9"/>
  <c r="D10" i="9"/>
  <c r="E10" i="9"/>
  <c r="F10" i="9"/>
  <c r="C10" i="9"/>
  <c r="K65" i="7"/>
  <c r="E22" i="11" l="1"/>
  <c r="E25" i="11" s="1"/>
  <c r="E27" i="11" s="1"/>
  <c r="E33" i="11" s="1"/>
  <c r="C22" i="11"/>
  <c r="F22" i="11"/>
  <c r="D14" i="11"/>
  <c r="D22" i="11"/>
  <c r="E24" i="11"/>
  <c r="E18" i="11"/>
  <c r="E19" i="11" s="1"/>
  <c r="D22" i="2"/>
  <c r="F22" i="2"/>
  <c r="E22" i="2"/>
  <c r="E30" i="9"/>
  <c r="D35" i="9"/>
  <c r="D36" i="9" s="1"/>
  <c r="C46" i="9"/>
  <c r="C47" i="9" s="1"/>
  <c r="F46" i="9"/>
  <c r="F47" i="9" s="1"/>
  <c r="E46" i="9"/>
  <c r="E47" i="9" s="1"/>
  <c r="F30" i="9"/>
  <c r="F35" i="9" s="1"/>
  <c r="F36" i="9" s="1"/>
  <c r="D46" i="9"/>
  <c r="D47" i="9" s="1"/>
  <c r="E35" i="9"/>
  <c r="E36" i="9" s="1"/>
  <c r="D25" i="11" l="1"/>
  <c r="D27" i="11" s="1"/>
  <c r="D33" i="11" s="1"/>
  <c r="F24" i="11"/>
  <c r="F25" i="11"/>
  <c r="F27" i="11" s="1"/>
  <c r="F33" i="11" s="1"/>
  <c r="C18" i="11"/>
  <c r="C19" i="11" s="1"/>
  <c r="C24" i="11"/>
  <c r="F18" i="11"/>
  <c r="F19" i="11" s="1"/>
  <c r="F23" i="11"/>
  <c r="D23" i="11"/>
  <c r="E23" i="11"/>
  <c r="D24" i="11"/>
  <c r="D18" i="11"/>
  <c r="D19" i="11" s="1"/>
  <c r="F5" i="9"/>
  <c r="E5" i="9"/>
  <c r="D5" i="9"/>
  <c r="C5" i="9"/>
  <c r="G11" i="10"/>
  <c r="H11" i="10" s="1"/>
  <c r="I11" i="10" s="1"/>
  <c r="J11" i="10" s="1"/>
  <c r="K11" i="10" s="1"/>
  <c r="L11" i="10" s="1"/>
  <c r="M11" i="10" s="1"/>
  <c r="D13" i="2"/>
  <c r="D14" i="2" s="1"/>
  <c r="E13" i="2"/>
  <c r="E14" i="2" s="1"/>
  <c r="F13" i="2"/>
  <c r="F14" i="2" s="1"/>
  <c r="C13" i="2"/>
  <c r="H45" i="6"/>
  <c r="I45" i="6"/>
  <c r="J45" i="6"/>
  <c r="K45" i="6"/>
  <c r="L45" i="6"/>
  <c r="M45" i="6"/>
  <c r="G35" i="6"/>
  <c r="G39" i="6" s="1"/>
  <c r="F46" i="6"/>
  <c r="E46" i="6"/>
  <c r="D46" i="6"/>
  <c r="C46" i="6"/>
  <c r="F37" i="6"/>
  <c r="F42" i="6" s="1"/>
  <c r="E37" i="6"/>
  <c r="E42" i="6" s="1"/>
  <c r="D37" i="6"/>
  <c r="D42" i="6" s="1"/>
  <c r="D40" i="6" s="1"/>
  <c r="C37" i="6"/>
  <c r="C42" i="6" s="1"/>
  <c r="C40" i="6" s="1"/>
  <c r="F131" i="7"/>
  <c r="F5" i="6"/>
  <c r="E5" i="6"/>
  <c r="D5" i="6"/>
  <c r="C5" i="6"/>
  <c r="G41" i="6" l="1"/>
  <c r="H35" i="6"/>
  <c r="G36" i="6"/>
  <c r="G37" i="6" s="1"/>
  <c r="E47" i="6"/>
  <c r="E40" i="6"/>
  <c r="F47" i="6"/>
  <c r="F40" i="6"/>
  <c r="C47" i="6"/>
  <c r="D47" i="6"/>
  <c r="D26" i="2"/>
  <c r="E26" i="2"/>
  <c r="E27" i="2" s="1"/>
  <c r="F26" i="2"/>
  <c r="C26" i="2"/>
  <c r="E25" i="2"/>
  <c r="F25" i="2"/>
  <c r="D25" i="2"/>
  <c r="D24" i="2"/>
  <c r="E24" i="2"/>
  <c r="F24" i="2"/>
  <c r="C24" i="2"/>
  <c r="E20" i="2"/>
  <c r="F20" i="2"/>
  <c r="D20" i="2"/>
  <c r="D18" i="2"/>
  <c r="E18" i="2"/>
  <c r="F18" i="2"/>
  <c r="C18" i="2"/>
  <c r="D16" i="2"/>
  <c r="E16" i="2"/>
  <c r="F16" i="2"/>
  <c r="C16" i="2"/>
  <c r="E17" i="2"/>
  <c r="F17" i="2"/>
  <c r="D17" i="2"/>
  <c r="E12" i="2"/>
  <c r="F12" i="2"/>
  <c r="D12" i="2"/>
  <c r="F5" i="2"/>
  <c r="E5" i="2"/>
  <c r="D5" i="2"/>
  <c r="C5" i="2"/>
  <c r="H116" i="7"/>
  <c r="I116" i="7"/>
  <c r="J116" i="7"/>
  <c r="K116" i="7"/>
  <c r="L116" i="7"/>
  <c r="M116" i="7"/>
  <c r="H121" i="7"/>
  <c r="I121" i="7"/>
  <c r="J121" i="7"/>
  <c r="K121" i="7"/>
  <c r="L121" i="7"/>
  <c r="M121" i="7"/>
  <c r="G121" i="7"/>
  <c r="H120" i="7"/>
  <c r="I120" i="7"/>
  <c r="J120" i="7"/>
  <c r="K120" i="7"/>
  <c r="L120" i="7"/>
  <c r="M120" i="7"/>
  <c r="G120" i="7"/>
  <c r="H119" i="7"/>
  <c r="I119" i="7"/>
  <c r="J119" i="7"/>
  <c r="K119" i="7"/>
  <c r="L119" i="7"/>
  <c r="M119" i="7"/>
  <c r="G119" i="7"/>
  <c r="H118" i="7"/>
  <c r="I118" i="7"/>
  <c r="J118" i="7"/>
  <c r="K118" i="7"/>
  <c r="L118" i="7"/>
  <c r="M118" i="7"/>
  <c r="G118" i="7"/>
  <c r="H117" i="7"/>
  <c r="I117" i="7"/>
  <c r="J117" i="7"/>
  <c r="K117" i="7"/>
  <c r="L117" i="7"/>
  <c r="M117" i="7"/>
  <c r="G117" i="7"/>
  <c r="H115" i="7"/>
  <c r="I115" i="7"/>
  <c r="J115" i="7"/>
  <c r="K115" i="7"/>
  <c r="L115" i="7"/>
  <c r="M115" i="7"/>
  <c r="H270" i="7"/>
  <c r="I270" i="7"/>
  <c r="J270" i="7"/>
  <c r="K270" i="7"/>
  <c r="L270" i="7"/>
  <c r="M270" i="7"/>
  <c r="G270" i="7"/>
  <c r="H234" i="7"/>
  <c r="H235" i="7" s="1"/>
  <c r="I234" i="7"/>
  <c r="I235" i="7" s="1"/>
  <c r="J234" i="7"/>
  <c r="J235" i="7" s="1"/>
  <c r="K234" i="7"/>
  <c r="K235" i="7" s="1"/>
  <c r="L234" i="7"/>
  <c r="L235" i="7" s="1"/>
  <c r="M234" i="7"/>
  <c r="M235" i="7" s="1"/>
  <c r="F266" i="7"/>
  <c r="G263" i="7" s="1"/>
  <c r="G266" i="7" s="1"/>
  <c r="H263" i="7" s="1"/>
  <c r="F258" i="7"/>
  <c r="G255" i="7" s="1"/>
  <c r="F250" i="7"/>
  <c r="G247" i="7" s="1"/>
  <c r="F242" i="7"/>
  <c r="G239" i="7" s="1"/>
  <c r="G242" i="7" s="1"/>
  <c r="H239" i="7" s="1"/>
  <c r="F234" i="7"/>
  <c r="G231" i="7" s="1"/>
  <c r="F226" i="7"/>
  <c r="G223" i="7" s="1"/>
  <c r="F273" i="7"/>
  <c r="G217" i="7" s="1"/>
  <c r="G77" i="7"/>
  <c r="H77" i="7" s="1"/>
  <c r="I77" i="7" s="1"/>
  <c r="J77" i="7" s="1"/>
  <c r="K77" i="7" s="1"/>
  <c r="L77" i="7" s="1"/>
  <c r="M77" i="7" s="1"/>
  <c r="G73" i="7"/>
  <c r="H73" i="7" s="1"/>
  <c r="G74" i="7"/>
  <c r="H74" i="7" s="1"/>
  <c r="I74" i="7" s="1"/>
  <c r="J74" i="7" s="1"/>
  <c r="K74" i="7" s="1"/>
  <c r="L74" i="7" s="1"/>
  <c r="M74" i="7" s="1"/>
  <c r="G53" i="7"/>
  <c r="G68" i="7"/>
  <c r="G66" i="7"/>
  <c r="H66" i="7" s="1"/>
  <c r="I66" i="7" s="1"/>
  <c r="J66" i="7" s="1"/>
  <c r="K66" i="7" s="1"/>
  <c r="L66" i="7" s="1"/>
  <c r="M66" i="7" s="1"/>
  <c r="G62" i="7"/>
  <c r="H62" i="7" s="1"/>
  <c r="I62" i="7" s="1"/>
  <c r="J62" i="7" s="1"/>
  <c r="K62" i="7" s="1"/>
  <c r="L62" i="7" s="1"/>
  <c r="M62" i="7" s="1"/>
  <c r="G61" i="7"/>
  <c r="H61" i="7" s="1"/>
  <c r="I61" i="7" s="1"/>
  <c r="J61" i="7" s="1"/>
  <c r="K61" i="7" s="1"/>
  <c r="L61" i="7" s="1"/>
  <c r="M61" i="7" s="1"/>
  <c r="G60" i="7"/>
  <c r="H60" i="7" s="1"/>
  <c r="I60" i="7" s="1"/>
  <c r="J60" i="7" s="1"/>
  <c r="K60" i="7" s="1"/>
  <c r="L60" i="7" s="1"/>
  <c r="M60" i="7" s="1"/>
  <c r="H45" i="7"/>
  <c r="I45" i="7"/>
  <c r="J45" i="7"/>
  <c r="K45" i="7"/>
  <c r="L45" i="7"/>
  <c r="M45" i="7"/>
  <c r="H46" i="7"/>
  <c r="I46" i="7"/>
  <c r="J46" i="7"/>
  <c r="K46" i="7"/>
  <c r="L46" i="7"/>
  <c r="M46" i="7"/>
  <c r="D21" i="8"/>
  <c r="E21" i="8"/>
  <c r="F21" i="8"/>
  <c r="C21" i="8"/>
  <c r="G46" i="7"/>
  <c r="D23" i="8"/>
  <c r="E23" i="8"/>
  <c r="F23" i="8"/>
  <c r="C23" i="8"/>
  <c r="G45" i="7"/>
  <c r="D22" i="8"/>
  <c r="E22" i="8"/>
  <c r="F22" i="8"/>
  <c r="C22" i="8"/>
  <c r="D105" i="7"/>
  <c r="E105" i="7"/>
  <c r="F105" i="7"/>
  <c r="C105" i="7"/>
  <c r="F103" i="7"/>
  <c r="D103" i="7"/>
  <c r="E103" i="7"/>
  <c r="C103" i="7"/>
  <c r="D203" i="7"/>
  <c r="E203" i="7"/>
  <c r="F203" i="7"/>
  <c r="C203" i="7"/>
  <c r="D201" i="7"/>
  <c r="E201" i="7"/>
  <c r="F201" i="7"/>
  <c r="C201" i="7"/>
  <c r="D199" i="7"/>
  <c r="E199" i="7"/>
  <c r="F199" i="7"/>
  <c r="C199" i="7"/>
  <c r="D197" i="7"/>
  <c r="E197" i="7"/>
  <c r="F197" i="7"/>
  <c r="C197" i="7"/>
  <c r="D190" i="7"/>
  <c r="E190" i="7"/>
  <c r="F190" i="7"/>
  <c r="D192" i="7"/>
  <c r="E192" i="7"/>
  <c r="F192" i="7"/>
  <c r="C192" i="7"/>
  <c r="C190" i="7"/>
  <c r="H129" i="7"/>
  <c r="I129" i="7"/>
  <c r="J129" i="7"/>
  <c r="K129" i="7"/>
  <c r="L129" i="7"/>
  <c r="M129" i="7"/>
  <c r="G129" i="7"/>
  <c r="D48" i="8"/>
  <c r="E48" i="8"/>
  <c r="F48" i="8"/>
  <c r="C48" i="8"/>
  <c r="H125" i="7"/>
  <c r="I125" i="7"/>
  <c r="J125" i="7"/>
  <c r="K125" i="7"/>
  <c r="L125" i="7"/>
  <c r="M125" i="7"/>
  <c r="G125" i="7"/>
  <c r="H122" i="7"/>
  <c r="I122" i="7"/>
  <c r="J122" i="7"/>
  <c r="K122" i="7"/>
  <c r="L122" i="7"/>
  <c r="M122" i="7"/>
  <c r="G122" i="7"/>
  <c r="D41" i="8"/>
  <c r="E41" i="8"/>
  <c r="F41" i="8"/>
  <c r="C41" i="8"/>
  <c r="H45" i="8"/>
  <c r="I45" i="8"/>
  <c r="J45" i="8"/>
  <c r="K45" i="8"/>
  <c r="L45" i="8"/>
  <c r="M45" i="8"/>
  <c r="D42" i="8"/>
  <c r="E42" i="8"/>
  <c r="F42" i="8"/>
  <c r="D43" i="8"/>
  <c r="D44" i="8" s="1"/>
  <c r="E43" i="8"/>
  <c r="E44" i="8" s="1"/>
  <c r="F43" i="8"/>
  <c r="F44" i="8" s="1"/>
  <c r="D46" i="8"/>
  <c r="E46" i="8"/>
  <c r="F46" i="8"/>
  <c r="C43" i="8"/>
  <c r="C44" i="8" s="1"/>
  <c r="C46" i="8"/>
  <c r="C42" i="8"/>
  <c r="H111" i="7"/>
  <c r="I111" i="7"/>
  <c r="J111" i="7"/>
  <c r="K111" i="7"/>
  <c r="L111" i="7"/>
  <c r="M111" i="7"/>
  <c r="G111" i="7"/>
  <c r="H110" i="7"/>
  <c r="I110" i="7"/>
  <c r="J110" i="7"/>
  <c r="K110" i="7"/>
  <c r="L110" i="7"/>
  <c r="M110" i="7"/>
  <c r="G110" i="7"/>
  <c r="H109" i="7"/>
  <c r="I109" i="7"/>
  <c r="J109" i="7"/>
  <c r="K109" i="7"/>
  <c r="L109" i="7"/>
  <c r="M109" i="7"/>
  <c r="G109" i="7"/>
  <c r="D37" i="8"/>
  <c r="E37" i="8"/>
  <c r="F37" i="8"/>
  <c r="C37" i="8"/>
  <c r="D38" i="8"/>
  <c r="E38" i="8"/>
  <c r="F38" i="8"/>
  <c r="C38" i="8"/>
  <c r="D39" i="8"/>
  <c r="E39" i="8"/>
  <c r="F39" i="8"/>
  <c r="C39" i="8"/>
  <c r="D35" i="8"/>
  <c r="E35" i="8"/>
  <c r="F35" i="8"/>
  <c r="C35" i="8"/>
  <c r="D34" i="8"/>
  <c r="E34" i="8"/>
  <c r="F34" i="8"/>
  <c r="C34" i="8"/>
  <c r="D33" i="8"/>
  <c r="E33" i="8"/>
  <c r="F33" i="8"/>
  <c r="C33" i="8"/>
  <c r="D32" i="8"/>
  <c r="E32" i="8"/>
  <c r="F32" i="8"/>
  <c r="C32" i="8"/>
  <c r="H94" i="7"/>
  <c r="I94" i="7"/>
  <c r="J94" i="7"/>
  <c r="K94" i="7"/>
  <c r="L94" i="7"/>
  <c r="M94" i="7"/>
  <c r="G94" i="7"/>
  <c r="D31" i="8"/>
  <c r="E31" i="8"/>
  <c r="F31" i="8"/>
  <c r="C31" i="8"/>
  <c r="H91" i="7"/>
  <c r="I91" i="7"/>
  <c r="J91" i="7"/>
  <c r="K91" i="7"/>
  <c r="L91" i="7"/>
  <c r="M91" i="7"/>
  <c r="G91" i="7"/>
  <c r="H89" i="7"/>
  <c r="I89" i="7"/>
  <c r="J89" i="7"/>
  <c r="K89" i="7"/>
  <c r="L89" i="7"/>
  <c r="M89" i="7"/>
  <c r="G89" i="7"/>
  <c r="G47" i="7" s="1"/>
  <c r="D29" i="8"/>
  <c r="E29" i="8"/>
  <c r="F29" i="8"/>
  <c r="C29" i="8"/>
  <c r="D27" i="8"/>
  <c r="E27" i="8"/>
  <c r="F27" i="8"/>
  <c r="C27" i="8"/>
  <c r="D30" i="8"/>
  <c r="E30" i="8"/>
  <c r="F30" i="8"/>
  <c r="C30" i="8"/>
  <c r="D28" i="8"/>
  <c r="E28" i="8"/>
  <c r="F28" i="8"/>
  <c r="C28" i="8"/>
  <c r="H31" i="7"/>
  <c r="H56" i="6" s="1"/>
  <c r="I31" i="7"/>
  <c r="I56" i="6" s="1"/>
  <c r="J31" i="7"/>
  <c r="J56" i="6" s="1"/>
  <c r="K31" i="7"/>
  <c r="K56" i="6" s="1"/>
  <c r="L31" i="7"/>
  <c r="L56" i="6" s="1"/>
  <c r="M31" i="7"/>
  <c r="M56" i="6" s="1"/>
  <c r="G31" i="7"/>
  <c r="H30" i="7"/>
  <c r="I30" i="7"/>
  <c r="J30" i="7"/>
  <c r="K30" i="7"/>
  <c r="L30" i="7"/>
  <c r="M30" i="7"/>
  <c r="G30" i="7"/>
  <c r="H18" i="8"/>
  <c r="I18" i="8"/>
  <c r="J18" i="8"/>
  <c r="K18" i="8"/>
  <c r="L18" i="8"/>
  <c r="M18" i="8"/>
  <c r="H16" i="8"/>
  <c r="I16" i="8"/>
  <c r="J16" i="8"/>
  <c r="K16" i="8"/>
  <c r="L16" i="8"/>
  <c r="M16" i="8"/>
  <c r="D15" i="8"/>
  <c r="E15" i="8"/>
  <c r="F15" i="8"/>
  <c r="G16" i="8" s="1"/>
  <c r="D17" i="8"/>
  <c r="E17" i="8"/>
  <c r="F17" i="8"/>
  <c r="C17" i="8"/>
  <c r="C15" i="8"/>
  <c r="H24" i="7"/>
  <c r="I24" i="7"/>
  <c r="J24" i="7"/>
  <c r="K24" i="7"/>
  <c r="L24" i="7"/>
  <c r="M24" i="7"/>
  <c r="G24" i="7"/>
  <c r="D13" i="8"/>
  <c r="E13" i="8"/>
  <c r="F13" i="8"/>
  <c r="C13" i="8"/>
  <c r="M43" i="8" l="1"/>
  <c r="M124" i="7" s="1"/>
  <c r="M55" i="6"/>
  <c r="J183" i="7"/>
  <c r="J26" i="11"/>
  <c r="J29" i="9"/>
  <c r="J49" i="6"/>
  <c r="L43" i="8"/>
  <c r="L124" i="7" s="1"/>
  <c r="L55" i="6"/>
  <c r="I183" i="7"/>
  <c r="I26" i="11"/>
  <c r="I29" i="9"/>
  <c r="I49" i="6"/>
  <c r="H183" i="7"/>
  <c r="H26" i="11"/>
  <c r="H29" i="9"/>
  <c r="H49" i="6"/>
  <c r="K43" i="8"/>
  <c r="K124" i="7" s="1"/>
  <c r="K55" i="6"/>
  <c r="G183" i="7"/>
  <c r="G26" i="11"/>
  <c r="G29" i="9"/>
  <c r="G49" i="6"/>
  <c r="J43" i="8"/>
  <c r="J124" i="7" s="1"/>
  <c r="J55" i="6"/>
  <c r="I43" i="8"/>
  <c r="I124" i="7" s="1"/>
  <c r="I55" i="6"/>
  <c r="M183" i="7"/>
  <c r="M26" i="11"/>
  <c r="M29" i="9"/>
  <c r="M49" i="6"/>
  <c r="H43" i="8"/>
  <c r="H124" i="7" s="1"/>
  <c r="H55" i="6"/>
  <c r="L183" i="7"/>
  <c r="L26" i="11"/>
  <c r="L29" i="9"/>
  <c r="L49" i="6"/>
  <c r="G56" i="6"/>
  <c r="K183" i="7"/>
  <c r="K26" i="11"/>
  <c r="K29" i="9"/>
  <c r="K49" i="6"/>
  <c r="G124" i="7"/>
  <c r="G55" i="6"/>
  <c r="F19" i="2"/>
  <c r="D27" i="2"/>
  <c r="F27" i="2"/>
  <c r="E19" i="2"/>
  <c r="D19" i="2"/>
  <c r="I35" i="6"/>
  <c r="H36" i="6"/>
  <c r="H37" i="6" s="1"/>
  <c r="H39" i="6"/>
  <c r="H41" i="6"/>
  <c r="G42" i="6"/>
  <c r="C49" i="6"/>
  <c r="C50" i="6"/>
  <c r="D49" i="6"/>
  <c r="D50" i="6"/>
  <c r="F50" i="6"/>
  <c r="F49" i="6"/>
  <c r="E50" i="6"/>
  <c r="E49" i="6"/>
  <c r="G226" i="7"/>
  <c r="H266" i="7"/>
  <c r="I263" i="7" s="1"/>
  <c r="G234" i="7"/>
  <c r="G235" i="7" s="1"/>
  <c r="G258" i="7"/>
  <c r="H255" i="7" s="1"/>
  <c r="H242" i="7"/>
  <c r="I239" i="7" s="1"/>
  <c r="H53" i="7"/>
  <c r="I53" i="7" s="1"/>
  <c r="J53" i="7" s="1"/>
  <c r="K53" i="7" s="1"/>
  <c r="L53" i="7" s="1"/>
  <c r="M53" i="7" s="1"/>
  <c r="G243" i="7"/>
  <c r="G250" i="7"/>
  <c r="H247" i="7" s="1"/>
  <c r="G267" i="7"/>
  <c r="H47" i="7"/>
  <c r="I47" i="7" s="1"/>
  <c r="J47" i="7" s="1"/>
  <c r="K47" i="7" s="1"/>
  <c r="L47" i="7" s="1"/>
  <c r="M47" i="7" s="1"/>
  <c r="F194" i="7"/>
  <c r="G76" i="7"/>
  <c r="I73" i="7"/>
  <c r="H68" i="7"/>
  <c r="I68" i="7" s="1"/>
  <c r="J68" i="7" s="1"/>
  <c r="K68" i="7" s="1"/>
  <c r="L68" i="7" s="1"/>
  <c r="M68" i="7" s="1"/>
  <c r="H65" i="7"/>
  <c r="F205" i="7"/>
  <c r="D205" i="7"/>
  <c r="D194" i="7"/>
  <c r="C205" i="7"/>
  <c r="E194" i="7"/>
  <c r="C194" i="7"/>
  <c r="E205" i="7"/>
  <c r="F200" i="7"/>
  <c r="F204" i="7"/>
  <c r="F193" i="7"/>
  <c r="F198" i="7"/>
  <c r="F202" i="7"/>
  <c r="D45" i="8"/>
  <c r="G42" i="8"/>
  <c r="H42" i="8" s="1"/>
  <c r="I42" i="8" s="1"/>
  <c r="I123" i="7" s="1"/>
  <c r="E45" i="8"/>
  <c r="D18" i="8"/>
  <c r="G13" i="8"/>
  <c r="F18" i="8"/>
  <c r="E18" i="8"/>
  <c r="D16" i="8"/>
  <c r="E16" i="8"/>
  <c r="F16" i="8"/>
  <c r="G18" i="8"/>
  <c r="I126" i="7" l="1"/>
  <c r="H13" i="8"/>
  <c r="I13" i="8" s="1"/>
  <c r="G17" i="10"/>
  <c r="H17" i="10" s="1"/>
  <c r="I17" i="10" s="1"/>
  <c r="J17" i="10" s="1"/>
  <c r="J35" i="6"/>
  <c r="I36" i="6"/>
  <c r="I37" i="6" s="1"/>
  <c r="I39" i="6"/>
  <c r="I41" i="6"/>
  <c r="G40" i="6"/>
  <c r="H42" i="6"/>
  <c r="H258" i="7"/>
  <c r="I255" i="7" s="1"/>
  <c r="G259" i="7"/>
  <c r="G45" i="6" s="1"/>
  <c r="G251" i="7"/>
  <c r="H243" i="7"/>
  <c r="H250" i="7"/>
  <c r="I247" i="7" s="1"/>
  <c r="H267" i="7"/>
  <c r="I242" i="7"/>
  <c r="J239" i="7" s="1"/>
  <c r="I266" i="7"/>
  <c r="J263" i="7" s="1"/>
  <c r="H226" i="7"/>
  <c r="I223" i="7" s="1"/>
  <c r="F207" i="7"/>
  <c r="H76" i="7"/>
  <c r="I76" i="7" s="1"/>
  <c r="J76" i="7" s="1"/>
  <c r="K76" i="7" s="1"/>
  <c r="L76" i="7" s="1"/>
  <c r="M76" i="7" s="1"/>
  <c r="I65" i="7"/>
  <c r="J73" i="7"/>
  <c r="D207" i="7"/>
  <c r="E207" i="7"/>
  <c r="G123" i="7"/>
  <c r="G126" i="7" s="1"/>
  <c r="J42" i="8"/>
  <c r="K42" i="8" s="1"/>
  <c r="L42" i="8" s="1"/>
  <c r="M42" i="8" s="1"/>
  <c r="M123" i="7" s="1"/>
  <c r="M126" i="7" s="1"/>
  <c r="H123" i="7"/>
  <c r="H126" i="7" s="1"/>
  <c r="J13" i="8"/>
  <c r="K35" i="6" l="1"/>
  <c r="J36" i="6"/>
  <c r="J37" i="6" s="1"/>
  <c r="J41" i="6"/>
  <c r="J39" i="6"/>
  <c r="H40" i="6"/>
  <c r="I42" i="6"/>
  <c r="H227" i="7"/>
  <c r="I243" i="7"/>
  <c r="H259" i="7"/>
  <c r="H272" i="7" s="1"/>
  <c r="J242" i="7"/>
  <c r="K239" i="7" s="1"/>
  <c r="I250" i="7"/>
  <c r="J247" i="7" s="1"/>
  <c r="I226" i="7"/>
  <c r="J223" i="7" s="1"/>
  <c r="H251" i="7"/>
  <c r="I258" i="7"/>
  <c r="J255" i="7" s="1"/>
  <c r="G20" i="7"/>
  <c r="I267" i="7"/>
  <c r="J266" i="7"/>
  <c r="K263" i="7" s="1"/>
  <c r="J267" i="7"/>
  <c r="K73" i="7"/>
  <c r="G41" i="7"/>
  <c r="J65" i="7"/>
  <c r="F208" i="7"/>
  <c r="J123" i="7"/>
  <c r="J126" i="7" s="1"/>
  <c r="K123" i="7"/>
  <c r="K126" i="7" s="1"/>
  <c r="L123" i="7"/>
  <c r="L126" i="7" s="1"/>
  <c r="K13" i="8"/>
  <c r="K17" i="10" s="1"/>
  <c r="L35" i="6" l="1"/>
  <c r="K41" i="6"/>
  <c r="K39" i="6"/>
  <c r="K36" i="6"/>
  <c r="K37" i="6" s="1"/>
  <c r="J42" i="6"/>
  <c r="I40" i="6"/>
  <c r="I259" i="7"/>
  <c r="I272" i="7" s="1"/>
  <c r="H20" i="7"/>
  <c r="J258" i="7"/>
  <c r="K255" i="7" s="1"/>
  <c r="J226" i="7"/>
  <c r="K223" i="7" s="1"/>
  <c r="K266" i="7"/>
  <c r="L263" i="7" s="1"/>
  <c r="I227" i="7"/>
  <c r="K242" i="7"/>
  <c r="L239" i="7" s="1"/>
  <c r="K243" i="7"/>
  <c r="I251" i="7"/>
  <c r="J250" i="7"/>
  <c r="K247" i="7" s="1"/>
  <c r="J243" i="7"/>
  <c r="H41" i="7"/>
  <c r="I41" i="7" s="1"/>
  <c r="J41" i="7" s="1"/>
  <c r="K41" i="7" s="1"/>
  <c r="L41" i="7" s="1"/>
  <c r="M41" i="7" s="1"/>
  <c r="L73" i="7"/>
  <c r="L13" i="8"/>
  <c r="L17" i="10" s="1"/>
  <c r="M35" i="6" l="1"/>
  <c r="L39" i="6"/>
  <c r="L41" i="6"/>
  <c r="L36" i="6"/>
  <c r="L37" i="6" s="1"/>
  <c r="J40" i="6"/>
  <c r="K42" i="6"/>
  <c r="K267" i="7"/>
  <c r="J259" i="7"/>
  <c r="J272" i="7" s="1"/>
  <c r="L242" i="7"/>
  <c r="M239" i="7" s="1"/>
  <c r="I20" i="7"/>
  <c r="K250" i="7"/>
  <c r="L247" i="7" s="1"/>
  <c r="L266" i="7"/>
  <c r="M263" i="7" s="1"/>
  <c r="K226" i="7"/>
  <c r="L223" i="7" s="1"/>
  <c r="K227" i="7"/>
  <c r="K258" i="7"/>
  <c r="L255" i="7" s="1"/>
  <c r="J251" i="7"/>
  <c r="J227" i="7"/>
  <c r="M73" i="7"/>
  <c r="L65" i="7"/>
  <c r="M13" i="8"/>
  <c r="M17" i="10" s="1"/>
  <c r="L42" i="6" l="1"/>
  <c r="L40" i="6" s="1"/>
  <c r="M39" i="6"/>
  <c r="M41" i="6"/>
  <c r="M36" i="6"/>
  <c r="M37" i="6" s="1"/>
  <c r="K40" i="6"/>
  <c r="K259" i="7"/>
  <c r="K272" i="7" s="1"/>
  <c r="L243" i="7"/>
  <c r="L250" i="7"/>
  <c r="M247" i="7" s="1"/>
  <c r="L226" i="7"/>
  <c r="M223" i="7" s="1"/>
  <c r="L267" i="7"/>
  <c r="M266" i="7"/>
  <c r="M267" i="7" s="1"/>
  <c r="L258" i="7"/>
  <c r="M255" i="7" s="1"/>
  <c r="M242" i="7"/>
  <c r="M243" i="7" s="1"/>
  <c r="J20" i="7"/>
  <c r="K251" i="7"/>
  <c r="M65" i="7"/>
  <c r="M42" i="6" l="1"/>
  <c r="M40" i="6" s="1"/>
  <c r="K20" i="7"/>
  <c r="L251" i="7"/>
  <c r="L259" i="7"/>
  <c r="L272" i="7" s="1"/>
  <c r="M258" i="7"/>
  <c r="M259" i="7" s="1"/>
  <c r="M272" i="7" s="1"/>
  <c r="M226" i="7"/>
  <c r="M227" i="7" s="1"/>
  <c r="M250" i="7"/>
  <c r="M251" i="7" s="1"/>
  <c r="L227" i="7"/>
  <c r="D138" i="7"/>
  <c r="E138" i="7"/>
  <c r="F138" i="7"/>
  <c r="C138" i="7"/>
  <c r="G141" i="7"/>
  <c r="L149" i="7" s="1"/>
  <c r="D26" i="8"/>
  <c r="E26" i="8"/>
  <c r="F26" i="8"/>
  <c r="C26" i="8"/>
  <c r="D12" i="8"/>
  <c r="E12" i="8"/>
  <c r="F12" i="8"/>
  <c r="C12" i="8"/>
  <c r="D11" i="8"/>
  <c r="E11" i="8"/>
  <c r="F11" i="8"/>
  <c r="C11" i="8"/>
  <c r="G10" i="7"/>
  <c r="G11" i="11" s="1"/>
  <c r="O24" i="17" s="1"/>
  <c r="O42" i="17" s="1"/>
  <c r="E10" i="8"/>
  <c r="F10" i="8"/>
  <c r="D10" i="8"/>
  <c r="G12" i="11" l="1"/>
  <c r="L20" i="7"/>
  <c r="G190" i="7"/>
  <c r="G39" i="7" s="1"/>
  <c r="G11" i="2"/>
  <c r="M20" i="7"/>
  <c r="G12" i="8"/>
  <c r="G14" i="7" s="1"/>
  <c r="E139" i="7"/>
  <c r="J171" i="7"/>
  <c r="K171" i="7"/>
  <c r="F139" i="7"/>
  <c r="D139" i="7"/>
  <c r="I149" i="7"/>
  <c r="G16" i="7"/>
  <c r="G28" i="8"/>
  <c r="G90" i="7" s="1"/>
  <c r="G56" i="7" s="1"/>
  <c r="G32" i="8"/>
  <c r="G92" i="7" s="1"/>
  <c r="G58" i="7" s="1"/>
  <c r="G34" i="8"/>
  <c r="G95" i="7" s="1"/>
  <c r="K149" i="7"/>
  <c r="M171" i="7"/>
  <c r="J149" i="7"/>
  <c r="L171" i="7"/>
  <c r="H171" i="7"/>
  <c r="I171" i="7"/>
  <c r="M149" i="7"/>
  <c r="G108" i="7"/>
  <c r="H10" i="7"/>
  <c r="H11" i="11" s="1"/>
  <c r="P24" i="17" s="1"/>
  <c r="G11" i="7"/>
  <c r="W24" i="17" l="1"/>
  <c r="P42" i="17"/>
  <c r="G199" i="7"/>
  <c r="G100" i="7" s="1"/>
  <c r="G55" i="7" s="1"/>
  <c r="G16" i="11"/>
  <c r="G17" i="11" s="1"/>
  <c r="H12" i="11"/>
  <c r="G29" i="11"/>
  <c r="G30" i="11" s="1"/>
  <c r="G43" i="9"/>
  <c r="G34" i="9"/>
  <c r="G28" i="11"/>
  <c r="G20" i="11"/>
  <c r="G21" i="11" s="1"/>
  <c r="G192" i="7"/>
  <c r="G98" i="7" s="1"/>
  <c r="G13" i="11"/>
  <c r="G15" i="11" s="1"/>
  <c r="G13" i="2"/>
  <c r="G12" i="2"/>
  <c r="G14" i="2"/>
  <c r="G15" i="2" s="1"/>
  <c r="H190" i="7"/>
  <c r="H97" i="7" s="1"/>
  <c r="H39" i="7" s="1"/>
  <c r="H11" i="2"/>
  <c r="H12" i="8"/>
  <c r="I12" i="8" s="1"/>
  <c r="J12" i="8" s="1"/>
  <c r="K12" i="8" s="1"/>
  <c r="L12" i="8" s="1"/>
  <c r="M12" i="8" s="1"/>
  <c r="G48" i="7"/>
  <c r="G12" i="7"/>
  <c r="G197" i="7"/>
  <c r="G142" i="7"/>
  <c r="J150" i="7" s="1"/>
  <c r="G112" i="7"/>
  <c r="H16" i="7"/>
  <c r="H28" i="8"/>
  <c r="H90" i="7" s="1"/>
  <c r="H56" i="7" s="1"/>
  <c r="H32" i="8"/>
  <c r="H92" i="7" s="1"/>
  <c r="H58" i="7" s="1"/>
  <c r="H34" i="8"/>
  <c r="H95" i="7" s="1"/>
  <c r="H108" i="7"/>
  <c r="H11" i="7"/>
  <c r="I10" i="7"/>
  <c r="I11" i="11" s="1"/>
  <c r="G194" i="7" l="1"/>
  <c r="I12" i="11"/>
  <c r="G14" i="11"/>
  <c r="G22" i="11"/>
  <c r="H13" i="11"/>
  <c r="H15" i="11" s="1"/>
  <c r="H13" i="2"/>
  <c r="H14" i="2" s="1"/>
  <c r="H15" i="2" s="1"/>
  <c r="H29" i="11"/>
  <c r="H30" i="11" s="1"/>
  <c r="H43" i="9"/>
  <c r="H34" i="9"/>
  <c r="H20" i="11"/>
  <c r="H21" i="11" s="1"/>
  <c r="H28" i="11"/>
  <c r="H12" i="2"/>
  <c r="I190" i="7"/>
  <c r="I97" i="7" s="1"/>
  <c r="I39" i="7" s="1"/>
  <c r="I11" i="2"/>
  <c r="G17" i="7"/>
  <c r="G16" i="2"/>
  <c r="G17" i="2"/>
  <c r="H48" i="7"/>
  <c r="H14" i="7"/>
  <c r="G99" i="7"/>
  <c r="G54" i="7" s="1"/>
  <c r="H12" i="7"/>
  <c r="H192" i="7"/>
  <c r="H197" i="7"/>
  <c r="H99" i="7" s="1"/>
  <c r="K172" i="7"/>
  <c r="M150" i="7"/>
  <c r="J172" i="7"/>
  <c r="L172" i="7"/>
  <c r="I172" i="7"/>
  <c r="M172" i="7"/>
  <c r="L150" i="7"/>
  <c r="K150" i="7"/>
  <c r="G157" i="7"/>
  <c r="I16" i="7"/>
  <c r="I28" i="8"/>
  <c r="I90" i="7" s="1"/>
  <c r="I56" i="7" s="1"/>
  <c r="I32" i="8"/>
  <c r="I92" i="7" s="1"/>
  <c r="I58" i="7" s="1"/>
  <c r="I34" i="8"/>
  <c r="I95" i="7" s="1"/>
  <c r="H142" i="7"/>
  <c r="I151" i="7" s="1"/>
  <c r="H112" i="7"/>
  <c r="J10" i="7"/>
  <c r="J11" i="11" s="1"/>
  <c r="I108" i="7"/>
  <c r="I29" i="11" s="1"/>
  <c r="I30" i="11" s="1"/>
  <c r="I11" i="7"/>
  <c r="I14" i="7"/>
  <c r="J12" i="11" l="1"/>
  <c r="H199" i="7"/>
  <c r="H100" i="7" s="1"/>
  <c r="H55" i="7" s="1"/>
  <c r="H16" i="11"/>
  <c r="H17" i="11" s="1"/>
  <c r="H14" i="11"/>
  <c r="G25" i="11"/>
  <c r="G27" i="11" s="1"/>
  <c r="G18" i="11"/>
  <c r="G19" i="11" s="1"/>
  <c r="G24" i="11"/>
  <c r="G23" i="11"/>
  <c r="G15" i="7"/>
  <c r="G27" i="9"/>
  <c r="G30" i="9" s="1"/>
  <c r="G21" i="2"/>
  <c r="I13" i="2"/>
  <c r="I14" i="2" s="1"/>
  <c r="I15" i="2" s="1"/>
  <c r="I13" i="11"/>
  <c r="I15" i="11" s="1"/>
  <c r="I28" i="11"/>
  <c r="I20" i="11"/>
  <c r="I21" i="11" s="1"/>
  <c r="I199" i="7"/>
  <c r="I16" i="11"/>
  <c r="I17" i="11" s="1"/>
  <c r="I34" i="9"/>
  <c r="I43" i="9"/>
  <c r="I12" i="2"/>
  <c r="I48" i="7"/>
  <c r="H17" i="7"/>
  <c r="G88" i="7"/>
  <c r="G158" i="7"/>
  <c r="G20" i="2"/>
  <c r="G18" i="2"/>
  <c r="G19" i="2" s="1"/>
  <c r="H16" i="2"/>
  <c r="H17" i="2"/>
  <c r="J190" i="7"/>
  <c r="J97" i="7" s="1"/>
  <c r="J39" i="7" s="1"/>
  <c r="J11" i="2"/>
  <c r="H54" i="7"/>
  <c r="H194" i="7"/>
  <c r="H98" i="7"/>
  <c r="H40" i="7" s="1"/>
  <c r="G184" i="7"/>
  <c r="G93" i="7" s="1"/>
  <c r="I12" i="7"/>
  <c r="I192" i="7"/>
  <c r="I197" i="7"/>
  <c r="I99" i="7" s="1"/>
  <c r="L151" i="7"/>
  <c r="L173" i="7"/>
  <c r="K173" i="7"/>
  <c r="K151" i="7"/>
  <c r="J151" i="7"/>
  <c r="H173" i="7"/>
  <c r="H180" i="7" s="1"/>
  <c r="M151" i="7"/>
  <c r="J173" i="7"/>
  <c r="H157" i="7"/>
  <c r="M173" i="7"/>
  <c r="I142" i="7"/>
  <c r="K174" i="7" s="1"/>
  <c r="I112" i="7"/>
  <c r="J16" i="7"/>
  <c r="J34" i="8"/>
  <c r="J95" i="7" s="1"/>
  <c r="J28" i="8"/>
  <c r="J90" i="7" s="1"/>
  <c r="J56" i="7" s="1"/>
  <c r="J32" i="8"/>
  <c r="J92" i="7" s="1"/>
  <c r="J58" i="7" s="1"/>
  <c r="I173" i="7"/>
  <c r="K10" i="7"/>
  <c r="K11" i="11" s="1"/>
  <c r="J108" i="7"/>
  <c r="J29" i="11" s="1"/>
  <c r="J30" i="11" s="1"/>
  <c r="J11" i="7"/>
  <c r="J14" i="7"/>
  <c r="I100" i="7" l="1"/>
  <c r="I55" i="7" s="1"/>
  <c r="H22" i="11"/>
  <c r="H23" i="11" s="1"/>
  <c r="J20" i="11"/>
  <c r="J21" i="11" s="1"/>
  <c r="J28" i="11"/>
  <c r="G49" i="7"/>
  <c r="G31" i="9"/>
  <c r="G40" i="9"/>
  <c r="I14" i="11"/>
  <c r="I22" i="11"/>
  <c r="J13" i="2"/>
  <c r="J14" i="2" s="1"/>
  <c r="J15" i="2" s="1"/>
  <c r="J13" i="11"/>
  <c r="J15" i="11" s="1"/>
  <c r="G23" i="2"/>
  <c r="G22" i="2"/>
  <c r="K12" i="11"/>
  <c r="H15" i="7"/>
  <c r="H20" i="2" s="1"/>
  <c r="H21" i="2"/>
  <c r="H27" i="9"/>
  <c r="H30" i="9" s="1"/>
  <c r="J199" i="7"/>
  <c r="J100" i="7" s="1"/>
  <c r="J16" i="11"/>
  <c r="J17" i="11" s="1"/>
  <c r="G67" i="7"/>
  <c r="G69" i="7" s="1"/>
  <c r="G32" i="9"/>
  <c r="G41" i="9"/>
  <c r="J48" i="7"/>
  <c r="J43" i="9"/>
  <c r="J34" i="9"/>
  <c r="J12" i="2"/>
  <c r="H88" i="7"/>
  <c r="H158" i="7"/>
  <c r="I17" i="7"/>
  <c r="I15" i="7" s="1"/>
  <c r="I16" i="2"/>
  <c r="I17" i="2"/>
  <c r="K190" i="7"/>
  <c r="K97" i="7" s="1"/>
  <c r="K39" i="7" s="1"/>
  <c r="K11" i="2"/>
  <c r="M152" i="7"/>
  <c r="I54" i="7"/>
  <c r="I194" i="7"/>
  <c r="I98" i="7"/>
  <c r="I40" i="7" s="1"/>
  <c r="J174" i="7"/>
  <c r="M174" i="7"/>
  <c r="H182" i="7"/>
  <c r="H184" i="7" s="1"/>
  <c r="H93" i="7" s="1"/>
  <c r="J12" i="7"/>
  <c r="J192" i="7"/>
  <c r="J197" i="7"/>
  <c r="J99" i="7" s="1"/>
  <c r="K152" i="7"/>
  <c r="I152" i="7"/>
  <c r="I157" i="7" s="1"/>
  <c r="I88" i="7" s="1"/>
  <c r="J152" i="7"/>
  <c r="I174" i="7"/>
  <c r="I180" i="7" s="1"/>
  <c r="L174" i="7"/>
  <c r="J142" i="7"/>
  <c r="L153" i="7" s="1"/>
  <c r="J112" i="7"/>
  <c r="L152" i="7"/>
  <c r="K16" i="7"/>
  <c r="K34" i="8"/>
  <c r="K95" i="7" s="1"/>
  <c r="K32" i="8"/>
  <c r="K92" i="7" s="1"/>
  <c r="K58" i="7" s="1"/>
  <c r="K28" i="8"/>
  <c r="K90" i="7" s="1"/>
  <c r="K56" i="7" s="1"/>
  <c r="L10" i="7"/>
  <c r="L11" i="11" s="1"/>
  <c r="K108" i="7"/>
  <c r="K29" i="11" s="1"/>
  <c r="K30" i="11" s="1"/>
  <c r="K11" i="7"/>
  <c r="K14" i="7"/>
  <c r="H18" i="2" l="1"/>
  <c r="H19" i="2" s="1"/>
  <c r="H24" i="11"/>
  <c r="J55" i="7"/>
  <c r="H18" i="11"/>
  <c r="H19" i="11" s="1"/>
  <c r="H25" i="11"/>
  <c r="H27" i="11" s="1"/>
  <c r="K28" i="11"/>
  <c r="K20" i="11"/>
  <c r="K21" i="11" s="1"/>
  <c r="K13" i="2"/>
  <c r="K14" i="2" s="1"/>
  <c r="K13" i="11"/>
  <c r="K15" i="11" s="1"/>
  <c r="L12" i="11"/>
  <c r="H23" i="2"/>
  <c r="H22" i="2"/>
  <c r="I23" i="11"/>
  <c r="I25" i="11"/>
  <c r="I27" i="11" s="1"/>
  <c r="I18" i="11"/>
  <c r="I19" i="11" s="1"/>
  <c r="I24" i="11"/>
  <c r="J22" i="11"/>
  <c r="J14" i="11"/>
  <c r="H67" i="7"/>
  <c r="H69" i="7" s="1"/>
  <c r="H32" i="9"/>
  <c r="H41" i="9"/>
  <c r="H44" i="7"/>
  <c r="H49" i="7" s="1"/>
  <c r="H31" i="9"/>
  <c r="H40" i="9"/>
  <c r="K199" i="7"/>
  <c r="K100" i="7" s="1"/>
  <c r="K55" i="7" s="1"/>
  <c r="K16" i="11"/>
  <c r="K17" i="11" s="1"/>
  <c r="K48" i="7"/>
  <c r="K43" i="9"/>
  <c r="K34" i="9"/>
  <c r="I27" i="9"/>
  <c r="I30" i="9" s="1"/>
  <c r="I21" i="2"/>
  <c r="I40" i="9"/>
  <c r="I31" i="9"/>
  <c r="K12" i="2"/>
  <c r="J17" i="7"/>
  <c r="J16" i="2"/>
  <c r="J17" i="2"/>
  <c r="L190" i="7"/>
  <c r="L97" i="7" s="1"/>
  <c r="L39" i="7" s="1"/>
  <c r="L11" i="2"/>
  <c r="I20" i="2"/>
  <c r="I18" i="2"/>
  <c r="J54" i="7"/>
  <c r="J194" i="7"/>
  <c r="J98" i="7"/>
  <c r="J40" i="7" s="1"/>
  <c r="K12" i="7"/>
  <c r="K197" i="7"/>
  <c r="K99" i="7" s="1"/>
  <c r="K192" i="7"/>
  <c r="I182" i="7"/>
  <c r="I184" i="7" s="1"/>
  <c r="I93" i="7" s="1"/>
  <c r="I158" i="7"/>
  <c r="K153" i="7"/>
  <c r="K175" i="7"/>
  <c r="J175" i="7"/>
  <c r="J180" i="7" s="1"/>
  <c r="L175" i="7"/>
  <c r="J153" i="7"/>
  <c r="J157" i="7" s="1"/>
  <c r="J88" i="7" s="1"/>
  <c r="M153" i="7"/>
  <c r="M175" i="7"/>
  <c r="K142" i="7"/>
  <c r="L154" i="7" s="1"/>
  <c r="K112" i="7"/>
  <c r="L16" i="7"/>
  <c r="L34" i="8"/>
  <c r="L95" i="7" s="1"/>
  <c r="L28" i="8"/>
  <c r="L90" i="7" s="1"/>
  <c r="L56" i="7" s="1"/>
  <c r="L32" i="8"/>
  <c r="L92" i="7" s="1"/>
  <c r="L58" i="7" s="1"/>
  <c r="M10" i="7"/>
  <c r="M11" i="11" s="1"/>
  <c r="L108" i="7"/>
  <c r="L29" i="11" s="1"/>
  <c r="L30" i="11" s="1"/>
  <c r="L14" i="7"/>
  <c r="L11" i="7"/>
  <c r="I19" i="2" l="1"/>
  <c r="I44" i="7"/>
  <c r="I49" i="7" s="1"/>
  <c r="J25" i="11"/>
  <c r="J27" i="11" s="1"/>
  <c r="J18" i="11"/>
  <c r="J19" i="11" s="1"/>
  <c r="J24" i="11"/>
  <c r="J23" i="11"/>
  <c r="L48" i="7"/>
  <c r="L199" i="7"/>
  <c r="L100" i="7" s="1"/>
  <c r="L55" i="7" s="1"/>
  <c r="L16" i="11"/>
  <c r="L17" i="11" s="1"/>
  <c r="M12" i="11"/>
  <c r="K22" i="11"/>
  <c r="K14" i="11"/>
  <c r="L28" i="11"/>
  <c r="L20" i="11"/>
  <c r="L21" i="11" s="1"/>
  <c r="L13" i="2"/>
  <c r="L14" i="2" s="1"/>
  <c r="L15" i="2" s="1"/>
  <c r="L13" i="11"/>
  <c r="L15" i="11" s="1"/>
  <c r="L34" i="9"/>
  <c r="L43" i="9"/>
  <c r="J15" i="7"/>
  <c r="J18" i="2" s="1"/>
  <c r="J19" i="2" s="1"/>
  <c r="J27" i="9"/>
  <c r="J30" i="9" s="1"/>
  <c r="J21" i="2"/>
  <c r="J40" i="9"/>
  <c r="J31" i="9"/>
  <c r="I23" i="2"/>
  <c r="I22" i="2"/>
  <c r="I67" i="7"/>
  <c r="I69" i="7" s="1"/>
  <c r="I32" i="9"/>
  <c r="I41" i="9"/>
  <c r="L12" i="2"/>
  <c r="K15" i="2"/>
  <c r="J44" i="7"/>
  <c r="J49" i="7" s="1"/>
  <c r="K17" i="7"/>
  <c r="K16" i="2"/>
  <c r="K17" i="2"/>
  <c r="M190" i="7"/>
  <c r="M97" i="7" s="1"/>
  <c r="M39" i="7" s="1"/>
  <c r="M11" i="2"/>
  <c r="K54" i="7"/>
  <c r="K194" i="7"/>
  <c r="K98" i="7"/>
  <c r="K40" i="7" s="1"/>
  <c r="L12" i="7"/>
  <c r="L192" i="7"/>
  <c r="L197" i="7"/>
  <c r="L99" i="7" s="1"/>
  <c r="K154" i="7"/>
  <c r="K157" i="7" s="1"/>
  <c r="K158" i="7" s="1"/>
  <c r="J158" i="7"/>
  <c r="J182" i="7"/>
  <c r="J184" i="7" s="1"/>
  <c r="J93" i="7" s="1"/>
  <c r="K176" i="7"/>
  <c r="K180" i="7" s="1"/>
  <c r="M154" i="7"/>
  <c r="L176" i="7"/>
  <c r="M176" i="7"/>
  <c r="L142" i="7"/>
  <c r="M177" i="7" s="1"/>
  <c r="L112" i="7"/>
  <c r="M16" i="7"/>
  <c r="M32" i="8"/>
  <c r="M92" i="7" s="1"/>
  <c r="M58" i="7" s="1"/>
  <c r="M34" i="8"/>
  <c r="M95" i="7" s="1"/>
  <c r="M28" i="8"/>
  <c r="M90" i="7" s="1"/>
  <c r="M56" i="7" s="1"/>
  <c r="M14" i="7"/>
  <c r="M11" i="7"/>
  <c r="M108" i="7"/>
  <c r="M29" i="11" s="1"/>
  <c r="M30" i="11" s="1"/>
  <c r="J20" i="2" l="1"/>
  <c r="M13" i="2"/>
  <c r="M13" i="11"/>
  <c r="M15" i="11" s="1"/>
  <c r="K25" i="11"/>
  <c r="K27" i="11" s="1"/>
  <c r="K18" i="11"/>
  <c r="K19" i="11" s="1"/>
  <c r="K24" i="11"/>
  <c r="K23" i="11"/>
  <c r="M28" i="11"/>
  <c r="M20" i="11"/>
  <c r="M21" i="11" s="1"/>
  <c r="M48" i="7"/>
  <c r="L22" i="11"/>
  <c r="L14" i="11"/>
  <c r="M199" i="7"/>
  <c r="M100" i="7" s="1"/>
  <c r="M55" i="7" s="1"/>
  <c r="M16" i="11"/>
  <c r="M17" i="11" s="1"/>
  <c r="J67" i="7"/>
  <c r="J69" i="7" s="1"/>
  <c r="J32" i="9"/>
  <c r="J41" i="9"/>
  <c r="K15" i="7"/>
  <c r="K18" i="2" s="1"/>
  <c r="K19" i="2" s="1"/>
  <c r="K21" i="2"/>
  <c r="K27" i="9"/>
  <c r="K30" i="9" s="1"/>
  <c r="M34" i="9"/>
  <c r="M43" i="9"/>
  <c r="J23" i="2"/>
  <c r="J22" i="2"/>
  <c r="M12" i="2"/>
  <c r="M14" i="2"/>
  <c r="M15" i="2" s="1"/>
  <c r="L17" i="7"/>
  <c r="L16" i="2"/>
  <c r="L17" i="2"/>
  <c r="L54" i="7"/>
  <c r="K182" i="7"/>
  <c r="K184" i="7" s="1"/>
  <c r="K93" i="7" s="1"/>
  <c r="K88" i="7"/>
  <c r="L194" i="7"/>
  <c r="L98" i="7"/>
  <c r="L40" i="7" s="1"/>
  <c r="M12" i="7"/>
  <c r="M192" i="7"/>
  <c r="M197" i="7"/>
  <c r="M99" i="7" s="1"/>
  <c r="M155" i="7"/>
  <c r="L177" i="7"/>
  <c r="L180" i="7" s="1"/>
  <c r="L155" i="7"/>
  <c r="L157" i="7" s="1"/>
  <c r="L88" i="7" s="1"/>
  <c r="M142" i="7"/>
  <c r="M178" i="7" s="1"/>
  <c r="M180" i="7" s="1"/>
  <c r="M112" i="7"/>
  <c r="F5" i="8"/>
  <c r="E5" i="8"/>
  <c r="D5" i="8"/>
  <c r="C5" i="8"/>
  <c r="F126" i="7"/>
  <c r="F112" i="7"/>
  <c r="E126" i="7"/>
  <c r="E112" i="7"/>
  <c r="D126" i="7"/>
  <c r="D112" i="7"/>
  <c r="C126" i="7"/>
  <c r="C112" i="7"/>
  <c r="F78" i="7"/>
  <c r="F69" i="7"/>
  <c r="F63" i="7"/>
  <c r="F49" i="7"/>
  <c r="F42" i="7"/>
  <c r="E78" i="7"/>
  <c r="E69" i="7"/>
  <c r="E63" i="7"/>
  <c r="E49" i="7"/>
  <c r="E42" i="7"/>
  <c r="D78" i="7"/>
  <c r="D69" i="7"/>
  <c r="D63" i="7"/>
  <c r="D49" i="7"/>
  <c r="D42" i="7"/>
  <c r="C78" i="7"/>
  <c r="C69" i="7"/>
  <c r="C63" i="7"/>
  <c r="C49" i="7"/>
  <c r="C42" i="7"/>
  <c r="F21" i="7"/>
  <c r="F12" i="7"/>
  <c r="F17" i="7" s="1"/>
  <c r="E21" i="7"/>
  <c r="E12" i="7"/>
  <c r="E17" i="7" s="1"/>
  <c r="E15" i="7" s="1"/>
  <c r="D21" i="7"/>
  <c r="D12" i="7"/>
  <c r="D17" i="7" s="1"/>
  <c r="C21" i="7"/>
  <c r="C12" i="7"/>
  <c r="F5" i="7"/>
  <c r="E5" i="7"/>
  <c r="D5" i="7"/>
  <c r="C5" i="7"/>
  <c r="H13" i="4"/>
  <c r="V13" i="4"/>
  <c r="Q13" i="4"/>
  <c r="L13" i="4"/>
  <c r="K20" i="2" l="1"/>
  <c r="L25" i="11"/>
  <c r="L27" i="11" s="1"/>
  <c r="L18" i="11"/>
  <c r="L19" i="11" s="1"/>
  <c r="L24" i="11"/>
  <c r="L23" i="11"/>
  <c r="M14" i="11"/>
  <c r="M22" i="11"/>
  <c r="K23" i="2"/>
  <c r="K22" i="2"/>
  <c r="L40" i="9"/>
  <c r="L31" i="9"/>
  <c r="K67" i="7"/>
  <c r="K69" i="7" s="1"/>
  <c r="K32" i="9"/>
  <c r="K41" i="9"/>
  <c r="L15" i="7"/>
  <c r="L18" i="2" s="1"/>
  <c r="L19" i="2" s="1"/>
  <c r="L21" i="2"/>
  <c r="L27" i="9"/>
  <c r="L30" i="9" s="1"/>
  <c r="K44" i="7"/>
  <c r="L44" i="7" s="1"/>
  <c r="K40" i="9"/>
  <c r="K31" i="9"/>
  <c r="M17" i="7"/>
  <c r="M17" i="2"/>
  <c r="M16" i="2"/>
  <c r="M54" i="7"/>
  <c r="M194" i="7"/>
  <c r="M98" i="7"/>
  <c r="M40" i="7" s="1"/>
  <c r="F22" i="7"/>
  <c r="L182" i="7"/>
  <c r="L184" i="7" s="1"/>
  <c r="L93" i="7" s="1"/>
  <c r="M156" i="7"/>
  <c r="M157" i="7" s="1"/>
  <c r="M182" i="7" s="1"/>
  <c r="M184" i="7" s="1"/>
  <c r="M93" i="7" s="1"/>
  <c r="L158" i="7"/>
  <c r="F50" i="7"/>
  <c r="F70" i="7"/>
  <c r="F79" i="7" s="1"/>
  <c r="D50" i="7"/>
  <c r="C22" i="7"/>
  <c r="C24" i="7" s="1"/>
  <c r="C14" i="8" s="1"/>
  <c r="C50" i="7"/>
  <c r="E128" i="7"/>
  <c r="E70" i="7"/>
  <c r="E79" i="7" s="1"/>
  <c r="D128" i="7"/>
  <c r="C128" i="7"/>
  <c r="C131" i="7" s="1"/>
  <c r="D130" i="7" s="1"/>
  <c r="F128" i="7"/>
  <c r="D70" i="7"/>
  <c r="D79" i="7" s="1"/>
  <c r="C70" i="7"/>
  <c r="C79" i="7" s="1"/>
  <c r="E50" i="7"/>
  <c r="D22" i="7"/>
  <c r="D15" i="7"/>
  <c r="F15" i="7"/>
  <c r="E22" i="7"/>
  <c r="K49" i="7" l="1"/>
  <c r="M25" i="11"/>
  <c r="M27" i="11" s="1"/>
  <c r="M23" i="11"/>
  <c r="M18" i="11"/>
  <c r="T12" i="11" s="1"/>
  <c r="M24" i="11"/>
  <c r="L20" i="2"/>
  <c r="M32" i="9"/>
  <c r="M41" i="9"/>
  <c r="M15" i="7"/>
  <c r="M18" i="2" s="1"/>
  <c r="M19" i="2" s="1"/>
  <c r="M21" i="2"/>
  <c r="M27" i="9"/>
  <c r="M30" i="9" s="1"/>
  <c r="L67" i="7"/>
  <c r="L69" i="7" s="1"/>
  <c r="L41" i="9"/>
  <c r="L32" i="9"/>
  <c r="L23" i="2"/>
  <c r="L22" i="2"/>
  <c r="L49" i="7"/>
  <c r="M158" i="7"/>
  <c r="M88" i="7"/>
  <c r="F81" i="7"/>
  <c r="C81" i="7"/>
  <c r="D81" i="7"/>
  <c r="C25" i="7"/>
  <c r="E81" i="7"/>
  <c r="D131" i="7"/>
  <c r="E130" i="7" s="1"/>
  <c r="E131" i="7" s="1"/>
  <c r="F130" i="7" s="1"/>
  <c r="G130" i="7" s="1"/>
  <c r="D25" i="7"/>
  <c r="D24" i="7"/>
  <c r="D14" i="8" s="1"/>
  <c r="F25" i="7"/>
  <c r="F24" i="7"/>
  <c r="F14" i="8" s="1"/>
  <c r="E25" i="7"/>
  <c r="E24" i="7"/>
  <c r="E14" i="8" s="1"/>
  <c r="J13" i="4"/>
  <c r="I13" i="4"/>
  <c r="M13" i="4"/>
  <c r="S15" i="4"/>
  <c r="M19" i="11" l="1"/>
  <c r="M20" i="2"/>
  <c r="M67" i="7"/>
  <c r="M69" i="7" s="1"/>
  <c r="M23" i="2"/>
  <c r="M22" i="2"/>
  <c r="M44" i="7"/>
  <c r="M49" i="7" s="1"/>
  <c r="M40" i="9"/>
  <c r="M31" i="9"/>
  <c r="X15" i="4"/>
  <c r="Y15" i="4"/>
  <c r="W15" i="4"/>
  <c r="T15" i="4"/>
  <c r="R15" i="4"/>
  <c r="N15" i="4"/>
  <c r="O15" i="4"/>
  <c r="M15" i="4"/>
  <c r="I15" i="4"/>
  <c r="J15" i="4"/>
  <c r="H15" i="4"/>
  <c r="X13" i="4"/>
  <c r="Y13" i="4"/>
  <c r="W13" i="4"/>
  <c r="S13" i="4"/>
  <c r="T13" i="4"/>
  <c r="R13" i="4"/>
  <c r="O13" i="4"/>
  <c r="N13" i="4"/>
  <c r="V19" i="4"/>
  <c r="Q19" i="4"/>
  <c r="L19" i="4"/>
  <c r="G19" i="4"/>
  <c r="V15" i="4"/>
  <c r="Q15" i="4"/>
  <c r="L15" i="4"/>
  <c r="G15" i="4"/>
  <c r="X126" i="4" l="1"/>
  <c r="Y126" i="4" s="1"/>
  <c r="X125" i="4"/>
  <c r="Y125" i="4" s="1"/>
  <c r="X121" i="4"/>
  <c r="Y121" i="4" s="1"/>
  <c r="X120" i="4"/>
  <c r="Y120" i="4" s="1"/>
  <c r="X119" i="4"/>
  <c r="Y119" i="4" s="1"/>
  <c r="X118" i="4"/>
  <c r="Y118" i="4" s="1"/>
  <c r="X117" i="4"/>
  <c r="Y117" i="4" s="1"/>
  <c r="X116" i="4"/>
  <c r="Y116" i="4" s="1"/>
  <c r="X115" i="4"/>
  <c r="Y115" i="4" s="1"/>
  <c r="X111" i="4"/>
  <c r="Y111" i="4" s="1"/>
  <c r="X109" i="4"/>
  <c r="Y109" i="4" s="1"/>
  <c r="X108" i="4"/>
  <c r="Y108" i="4" s="1"/>
  <c r="X104" i="4"/>
  <c r="Y104" i="4" s="1"/>
  <c r="X103" i="4"/>
  <c r="Y103" i="4" s="1"/>
  <c r="X102" i="4"/>
  <c r="Y102" i="4" s="1"/>
  <c r="X101" i="4"/>
  <c r="Y101" i="4" s="1"/>
  <c r="X100" i="4"/>
  <c r="Y100" i="4" s="1"/>
  <c r="X99" i="4"/>
  <c r="Y99" i="4" s="1"/>
  <c r="X98" i="4"/>
  <c r="Y98" i="4" s="1"/>
  <c r="X97" i="4"/>
  <c r="Y97" i="4" s="1"/>
  <c r="X94" i="4"/>
  <c r="Y94" i="4" s="1"/>
  <c r="X95" i="4"/>
  <c r="Y95" i="4" s="1"/>
  <c r="X93" i="4"/>
  <c r="Y93" i="4" s="1"/>
  <c r="X92" i="4"/>
  <c r="W122" i="4"/>
  <c r="W112" i="4"/>
  <c r="W105" i="4"/>
  <c r="W124" i="4" s="1"/>
  <c r="W127" i="4" s="1"/>
  <c r="Y83" i="4"/>
  <c r="Y74" i="4"/>
  <c r="Y68" i="4"/>
  <c r="Y55" i="4"/>
  <c r="Y48" i="4"/>
  <c r="X83" i="4"/>
  <c r="X74" i="4"/>
  <c r="X68" i="4"/>
  <c r="X75" i="4" s="1"/>
  <c r="X84" i="4" s="1"/>
  <c r="X55" i="4"/>
  <c r="V55" i="4"/>
  <c r="X48" i="4"/>
  <c r="W83" i="4"/>
  <c r="W74" i="4"/>
  <c r="W68" i="4"/>
  <c r="W55" i="4"/>
  <c r="W48" i="4"/>
  <c r="Y27" i="4"/>
  <c r="Y22" i="4"/>
  <c r="Y16" i="4"/>
  <c r="Y23" i="4" s="1"/>
  <c r="X27" i="4"/>
  <c r="X22" i="4"/>
  <c r="X16" i="4"/>
  <c r="X23" i="4" s="1"/>
  <c r="X28" i="4" s="1"/>
  <c r="W27" i="4"/>
  <c r="W22" i="4"/>
  <c r="W16" i="4"/>
  <c r="W23" i="4" s="1"/>
  <c r="U116" i="4"/>
  <c r="V122" i="4"/>
  <c r="V112" i="4"/>
  <c r="V105" i="4"/>
  <c r="T109" i="4"/>
  <c r="U109" i="4" s="1"/>
  <c r="S126" i="4"/>
  <c r="T126" i="4" s="1"/>
  <c r="U126" i="4" s="1"/>
  <c r="S125" i="4"/>
  <c r="T125" i="4" s="1"/>
  <c r="U125" i="4" s="1"/>
  <c r="S121" i="4"/>
  <c r="T121" i="4" s="1"/>
  <c r="U121" i="4" s="1"/>
  <c r="S120" i="4"/>
  <c r="T120" i="4" s="1"/>
  <c r="U120" i="4" s="1"/>
  <c r="S119" i="4"/>
  <c r="T119" i="4" s="1"/>
  <c r="U119" i="4" s="1"/>
  <c r="S118" i="4"/>
  <c r="T118" i="4" s="1"/>
  <c r="U118" i="4" s="1"/>
  <c r="S117" i="4"/>
  <c r="S111" i="4"/>
  <c r="T111" i="4" s="1"/>
  <c r="U111" i="4" s="1"/>
  <c r="S108" i="4"/>
  <c r="T108" i="4" s="1"/>
  <c r="U108" i="4" s="1"/>
  <c r="S104" i="4"/>
  <c r="T104" i="4" s="1"/>
  <c r="U104" i="4" s="1"/>
  <c r="S103" i="4"/>
  <c r="T103" i="4" s="1"/>
  <c r="U103" i="4" s="1"/>
  <c r="S102" i="4"/>
  <c r="T102" i="4" s="1"/>
  <c r="U102" i="4" s="1"/>
  <c r="S101" i="4"/>
  <c r="T101" i="4" s="1"/>
  <c r="U101" i="4" s="1"/>
  <c r="S100" i="4"/>
  <c r="T100" i="4" s="1"/>
  <c r="U100" i="4" s="1"/>
  <c r="S99" i="4"/>
  <c r="T99" i="4" s="1"/>
  <c r="U99" i="4" s="1"/>
  <c r="S98" i="4"/>
  <c r="T98" i="4" s="1"/>
  <c r="U98" i="4" s="1"/>
  <c r="S97" i="4"/>
  <c r="T97" i="4" s="1"/>
  <c r="U97" i="4" s="1"/>
  <c r="S95" i="4"/>
  <c r="T95" i="4" s="1"/>
  <c r="U95" i="4" s="1"/>
  <c r="S93" i="4"/>
  <c r="T93" i="4" s="1"/>
  <c r="U93" i="4" s="1"/>
  <c r="S92" i="4"/>
  <c r="T92" i="4" s="1"/>
  <c r="R122" i="4"/>
  <c r="R112" i="4"/>
  <c r="R105" i="4"/>
  <c r="V83" i="4"/>
  <c r="V74" i="4"/>
  <c r="V68" i="4"/>
  <c r="V48" i="4"/>
  <c r="U83" i="4"/>
  <c r="U74" i="4"/>
  <c r="U68" i="4"/>
  <c r="U55" i="4"/>
  <c r="U48" i="4"/>
  <c r="T83" i="4"/>
  <c r="T74" i="4"/>
  <c r="T68" i="4"/>
  <c r="T55" i="4"/>
  <c r="T48" i="4"/>
  <c r="S83" i="4"/>
  <c r="S74" i="4"/>
  <c r="S68" i="4"/>
  <c r="S55" i="4"/>
  <c r="S48" i="4"/>
  <c r="R83" i="4"/>
  <c r="R74" i="4"/>
  <c r="R68" i="4"/>
  <c r="R55" i="4"/>
  <c r="R48" i="4"/>
  <c r="U34" i="4"/>
  <c r="U33" i="4"/>
  <c r="U29" i="4"/>
  <c r="U26" i="4"/>
  <c r="U25" i="4"/>
  <c r="U21" i="4"/>
  <c r="U18" i="4"/>
  <c r="U14" i="4"/>
  <c r="U15" i="4" s="1"/>
  <c r="U12" i="4"/>
  <c r="V27" i="4"/>
  <c r="V22" i="4"/>
  <c r="V16" i="4"/>
  <c r="V23" i="4" s="1"/>
  <c r="T27" i="4"/>
  <c r="T22" i="4"/>
  <c r="T16" i="4"/>
  <c r="T23" i="4" s="1"/>
  <c r="S27" i="4"/>
  <c r="S22" i="4"/>
  <c r="S16" i="4"/>
  <c r="S23" i="4" s="1"/>
  <c r="R27" i="4"/>
  <c r="R22" i="4"/>
  <c r="R16" i="4"/>
  <c r="R23" i="4" s="1"/>
  <c r="Q122" i="4"/>
  <c r="Q112" i="4"/>
  <c r="Q105" i="4"/>
  <c r="N126" i="4"/>
  <c r="O126" i="4" s="1"/>
  <c r="P126" i="4" s="1"/>
  <c r="N125" i="4"/>
  <c r="N121" i="4"/>
  <c r="O121" i="4" s="1"/>
  <c r="N120" i="4"/>
  <c r="N119" i="4"/>
  <c r="O119" i="4" s="1"/>
  <c r="P119" i="4" s="1"/>
  <c r="N118" i="4"/>
  <c r="O118" i="4" s="1"/>
  <c r="P118" i="4" s="1"/>
  <c r="N117" i="4"/>
  <c r="O117" i="4" s="1"/>
  <c r="N116" i="4"/>
  <c r="O116" i="4" s="1"/>
  <c r="N115" i="4"/>
  <c r="O115" i="4" s="1"/>
  <c r="N111" i="4"/>
  <c r="O111" i="4" s="1"/>
  <c r="P111" i="4" s="1"/>
  <c r="N108" i="4"/>
  <c r="O108" i="4" s="1"/>
  <c r="N104" i="4"/>
  <c r="N103" i="4"/>
  <c r="O103" i="4" s="1"/>
  <c r="P103" i="4" s="1"/>
  <c r="N102" i="4"/>
  <c r="O102" i="4" s="1"/>
  <c r="N101" i="4"/>
  <c r="O101" i="4" s="1"/>
  <c r="N100" i="4"/>
  <c r="O100" i="4" s="1"/>
  <c r="N99" i="4"/>
  <c r="O99" i="4" s="1"/>
  <c r="P99" i="4" s="1"/>
  <c r="N98" i="4"/>
  <c r="O98" i="4" s="1"/>
  <c r="N97" i="4"/>
  <c r="O97" i="4" s="1"/>
  <c r="P97" i="4" s="1"/>
  <c r="N95" i="4"/>
  <c r="O95" i="4" s="1"/>
  <c r="N93" i="4"/>
  <c r="O93" i="4" s="1"/>
  <c r="N92" i="4"/>
  <c r="M122" i="4"/>
  <c r="M112" i="4"/>
  <c r="M105" i="4"/>
  <c r="Q83" i="4"/>
  <c r="Q74" i="4"/>
  <c r="P74" i="4"/>
  <c r="Q68" i="4"/>
  <c r="Q55" i="4"/>
  <c r="Q48" i="4"/>
  <c r="P83" i="4"/>
  <c r="P68" i="4"/>
  <c r="O68" i="4"/>
  <c r="P55" i="4"/>
  <c r="P48" i="4"/>
  <c r="O83" i="4"/>
  <c r="O74" i="4"/>
  <c r="O55" i="4"/>
  <c r="O48" i="4"/>
  <c r="N83" i="4"/>
  <c r="N74" i="4"/>
  <c r="N68" i="4"/>
  <c r="N55" i="4"/>
  <c r="N48" i="4"/>
  <c r="M83" i="4"/>
  <c r="M74" i="4"/>
  <c r="M68" i="4"/>
  <c r="M55" i="4"/>
  <c r="M48" i="4"/>
  <c r="P34" i="4"/>
  <c r="P33" i="4"/>
  <c r="P29" i="4"/>
  <c r="P26" i="4"/>
  <c r="P25" i="4"/>
  <c r="P21" i="4"/>
  <c r="P18" i="4"/>
  <c r="P14" i="4"/>
  <c r="P12" i="4"/>
  <c r="Q27" i="4"/>
  <c r="Q22" i="4"/>
  <c r="Q16" i="4"/>
  <c r="O27" i="4"/>
  <c r="O22" i="4"/>
  <c r="O16" i="4"/>
  <c r="O23" i="4" s="1"/>
  <c r="N27" i="4"/>
  <c r="N22" i="4"/>
  <c r="N16" i="4"/>
  <c r="N23" i="4" s="1"/>
  <c r="N20" i="4" s="1"/>
  <c r="M27" i="4"/>
  <c r="M22" i="4"/>
  <c r="M16" i="4"/>
  <c r="M23" i="4" s="1"/>
  <c r="K115" i="4"/>
  <c r="L122" i="4"/>
  <c r="L112" i="4"/>
  <c r="L105" i="4"/>
  <c r="J116" i="4"/>
  <c r="K116" i="4" s="1"/>
  <c r="J109" i="4"/>
  <c r="I126" i="4"/>
  <c r="I125" i="4"/>
  <c r="I121" i="4"/>
  <c r="J121" i="4" s="1"/>
  <c r="I120" i="4"/>
  <c r="J120" i="4" s="1"/>
  <c r="I119" i="4"/>
  <c r="I118" i="4"/>
  <c r="J118" i="4" s="1"/>
  <c r="I117" i="4"/>
  <c r="I111" i="4"/>
  <c r="I108" i="4"/>
  <c r="J108" i="4" s="1"/>
  <c r="I104" i="4"/>
  <c r="J104" i="4" s="1"/>
  <c r="K104" i="4" s="1"/>
  <c r="I103" i="4"/>
  <c r="J103" i="4" s="1"/>
  <c r="K103" i="4" s="1"/>
  <c r="I102" i="4"/>
  <c r="J102" i="4" s="1"/>
  <c r="K102" i="4" s="1"/>
  <c r="I101" i="4"/>
  <c r="J101" i="4" s="1"/>
  <c r="I100" i="4"/>
  <c r="J100" i="4" s="1"/>
  <c r="K100" i="4" s="1"/>
  <c r="I99" i="4"/>
  <c r="I98" i="4"/>
  <c r="J98" i="4" s="1"/>
  <c r="I97" i="4"/>
  <c r="J97" i="4" s="1"/>
  <c r="I95" i="4"/>
  <c r="J95" i="4" s="1"/>
  <c r="K95" i="4" s="1"/>
  <c r="I93" i="4"/>
  <c r="J93" i="4" s="1"/>
  <c r="K93" i="4" s="1"/>
  <c r="I92" i="4"/>
  <c r="H122" i="4"/>
  <c r="H112" i="4"/>
  <c r="H105" i="4"/>
  <c r="L83" i="4"/>
  <c r="L74" i="4"/>
  <c r="L68" i="4"/>
  <c r="L55" i="4"/>
  <c r="L48" i="4"/>
  <c r="K83" i="4"/>
  <c r="K74" i="4"/>
  <c r="K68" i="4"/>
  <c r="K55" i="4"/>
  <c r="K48" i="4"/>
  <c r="J83" i="4"/>
  <c r="J74" i="4"/>
  <c r="J68" i="4"/>
  <c r="J55" i="4"/>
  <c r="J48" i="4"/>
  <c r="I83" i="4"/>
  <c r="I74" i="4"/>
  <c r="I68" i="4"/>
  <c r="I55" i="4"/>
  <c r="I48" i="4"/>
  <c r="H83" i="4"/>
  <c r="H74" i="4"/>
  <c r="H68" i="4"/>
  <c r="H55" i="4"/>
  <c r="H48" i="4"/>
  <c r="K34" i="4"/>
  <c r="K33" i="4"/>
  <c r="K29" i="4"/>
  <c r="K26" i="4"/>
  <c r="K25" i="4"/>
  <c r="K21" i="4"/>
  <c r="K18" i="4"/>
  <c r="K14" i="4"/>
  <c r="K12" i="4"/>
  <c r="L27" i="4"/>
  <c r="J27" i="4"/>
  <c r="L22" i="4"/>
  <c r="L16" i="4"/>
  <c r="L23" i="4" s="1"/>
  <c r="J22" i="4"/>
  <c r="J16" i="4"/>
  <c r="J23" i="4" s="1"/>
  <c r="J20" i="4" s="1"/>
  <c r="I27" i="4"/>
  <c r="I22" i="4"/>
  <c r="I16" i="4"/>
  <c r="I23" i="4" s="1"/>
  <c r="F33" i="4"/>
  <c r="H27" i="4"/>
  <c r="H22" i="4"/>
  <c r="H16" i="4"/>
  <c r="H23" i="4" s="1"/>
  <c r="G112" i="4"/>
  <c r="G122" i="4"/>
  <c r="G105" i="4"/>
  <c r="D126" i="4"/>
  <c r="E126" i="4" s="1"/>
  <c r="D125" i="4"/>
  <c r="E125" i="4" s="1"/>
  <c r="D121" i="4"/>
  <c r="E121" i="4" s="1"/>
  <c r="D120" i="4"/>
  <c r="E120" i="4" s="1"/>
  <c r="D119" i="4"/>
  <c r="E119" i="4" s="1"/>
  <c r="D118" i="4"/>
  <c r="E118" i="4" s="1"/>
  <c r="D117" i="4"/>
  <c r="E117" i="4" s="1"/>
  <c r="D116" i="4"/>
  <c r="E116" i="4" s="1"/>
  <c r="D115" i="4"/>
  <c r="E115" i="4" s="1"/>
  <c r="D111" i="4"/>
  <c r="E111" i="4" s="1"/>
  <c r="D110" i="4"/>
  <c r="E110" i="4" s="1"/>
  <c r="D108" i="4"/>
  <c r="E108" i="4" s="1"/>
  <c r="D104" i="4"/>
  <c r="E104" i="4" s="1"/>
  <c r="D103" i="4"/>
  <c r="E103" i="4" s="1"/>
  <c r="D102" i="4"/>
  <c r="E102" i="4" s="1"/>
  <c r="D101" i="4"/>
  <c r="E101" i="4" s="1"/>
  <c r="F101" i="4" s="1"/>
  <c r="D100" i="4"/>
  <c r="E100" i="4" s="1"/>
  <c r="D99" i="4"/>
  <c r="E99" i="4" s="1"/>
  <c r="D98" i="4"/>
  <c r="E98" i="4" s="1"/>
  <c r="F98" i="4" s="1"/>
  <c r="D97" i="4"/>
  <c r="E97" i="4" s="1"/>
  <c r="F97" i="4" s="1"/>
  <c r="D95" i="4"/>
  <c r="E95" i="4" s="1"/>
  <c r="D93" i="4"/>
  <c r="E93" i="4" s="1"/>
  <c r="D92" i="4"/>
  <c r="E92" i="4" s="1"/>
  <c r="F48" i="4"/>
  <c r="F83" i="4"/>
  <c r="F74" i="4"/>
  <c r="F68" i="4"/>
  <c r="F55" i="4"/>
  <c r="E83" i="4"/>
  <c r="E74" i="4"/>
  <c r="E68" i="4"/>
  <c r="E55" i="4"/>
  <c r="E48" i="4"/>
  <c r="D83" i="4"/>
  <c r="D74" i="4"/>
  <c r="D68" i="4"/>
  <c r="D55" i="4"/>
  <c r="D48" i="4"/>
  <c r="G83" i="4"/>
  <c r="G74" i="4"/>
  <c r="G68" i="4"/>
  <c r="G55" i="4"/>
  <c r="G48" i="4"/>
  <c r="C122" i="4"/>
  <c r="C112" i="4"/>
  <c r="C105" i="4"/>
  <c r="C83" i="4"/>
  <c r="C74" i="4"/>
  <c r="C68" i="4"/>
  <c r="C55" i="4"/>
  <c r="C48" i="4"/>
  <c r="P13" i="4" l="1"/>
  <c r="U13" i="4"/>
  <c r="K15" i="4"/>
  <c r="P15" i="4"/>
  <c r="J56" i="4"/>
  <c r="H75" i="4"/>
  <c r="H84" i="4" s="1"/>
  <c r="R56" i="4"/>
  <c r="Y56" i="4"/>
  <c r="R75" i="4"/>
  <c r="R84" i="4" s="1"/>
  <c r="T56" i="4"/>
  <c r="W56" i="4"/>
  <c r="P22" i="4"/>
  <c r="P27" i="4"/>
  <c r="Q56" i="4"/>
  <c r="Y28" i="4"/>
  <c r="Y30" i="4" s="1"/>
  <c r="K75" i="4"/>
  <c r="K84" i="4" s="1"/>
  <c r="P93" i="4"/>
  <c r="L75" i="4"/>
  <c r="L84" i="4" s="1"/>
  <c r="J75" i="4"/>
  <c r="Y112" i="4"/>
  <c r="F119" i="4"/>
  <c r="H124" i="4"/>
  <c r="H127" i="4" s="1"/>
  <c r="K22" i="4"/>
  <c r="X122" i="4"/>
  <c r="X105" i="4"/>
  <c r="Y92" i="4"/>
  <c r="Y105" i="4" s="1"/>
  <c r="J84" i="4"/>
  <c r="L124" i="4"/>
  <c r="L127" i="4" s="1"/>
  <c r="W28" i="4"/>
  <c r="W31" i="4" s="1"/>
  <c r="Y122" i="4"/>
  <c r="O56" i="4"/>
  <c r="K27" i="4"/>
  <c r="N56" i="4"/>
  <c r="V75" i="4"/>
  <c r="V84" i="4" s="1"/>
  <c r="X112" i="4"/>
  <c r="Q75" i="4"/>
  <c r="Q84" i="4" s="1"/>
  <c r="M124" i="4"/>
  <c r="M127" i="4" s="1"/>
  <c r="N75" i="4"/>
  <c r="N84" i="4" s="1"/>
  <c r="Q124" i="4"/>
  <c r="Q127" i="4" s="1"/>
  <c r="S75" i="4"/>
  <c r="S84" i="4" s="1"/>
  <c r="U56" i="4"/>
  <c r="Y75" i="4"/>
  <c r="Y84" i="4" s="1"/>
  <c r="F111" i="4"/>
  <c r="F115" i="4"/>
  <c r="I112" i="4"/>
  <c r="X56" i="4"/>
  <c r="X86" i="4" s="1"/>
  <c r="K23" i="4"/>
  <c r="L20" i="4"/>
  <c r="F75" i="4"/>
  <c r="F84" i="4" s="1"/>
  <c r="E112" i="4"/>
  <c r="F99" i="4"/>
  <c r="F120" i="4"/>
  <c r="I56" i="4"/>
  <c r="L56" i="4"/>
  <c r="K101" i="4"/>
  <c r="P56" i="4"/>
  <c r="U27" i="4"/>
  <c r="R124" i="4"/>
  <c r="R127" i="4" s="1"/>
  <c r="S122" i="4"/>
  <c r="F100" i="4"/>
  <c r="F121" i="4"/>
  <c r="L28" i="4"/>
  <c r="I105" i="4"/>
  <c r="P95" i="4"/>
  <c r="V124" i="4"/>
  <c r="V127" i="4" s="1"/>
  <c r="P102" i="4"/>
  <c r="F108" i="4"/>
  <c r="I75" i="4"/>
  <c r="I84" i="4" s="1"/>
  <c r="K56" i="4"/>
  <c r="K121" i="4"/>
  <c r="M56" i="4"/>
  <c r="O75" i="4"/>
  <c r="O84" i="4" s="1"/>
  <c r="O112" i="4"/>
  <c r="U75" i="4"/>
  <c r="U84" i="4" s="1"/>
  <c r="W75" i="4"/>
  <c r="W84" i="4" s="1"/>
  <c r="W86" i="4" s="1"/>
  <c r="F110" i="4"/>
  <c r="H56" i="4"/>
  <c r="F125" i="4"/>
  <c r="O104" i="4"/>
  <c r="P104" i="4" s="1"/>
  <c r="S56" i="4"/>
  <c r="T75" i="4"/>
  <c r="T84" i="4" s="1"/>
  <c r="M75" i="4"/>
  <c r="M84" i="4" s="1"/>
  <c r="U16" i="4"/>
  <c r="U23" i="4" s="1"/>
  <c r="U20" i="4" s="1"/>
  <c r="P116" i="4"/>
  <c r="O92" i="4"/>
  <c r="P92" i="4" s="1"/>
  <c r="G124" i="4"/>
  <c r="G127" i="4" s="1"/>
  <c r="F118" i="4"/>
  <c r="I122" i="4"/>
  <c r="P16" i="4"/>
  <c r="P23" i="4" s="1"/>
  <c r="P117" i="4"/>
  <c r="V56" i="4"/>
  <c r="I20" i="4"/>
  <c r="I28" i="4"/>
  <c r="I31" i="4" s="1"/>
  <c r="R28" i="4"/>
  <c r="R20" i="4"/>
  <c r="P121" i="4"/>
  <c r="X31" i="4"/>
  <c r="X30" i="4"/>
  <c r="H20" i="4"/>
  <c r="H28" i="4"/>
  <c r="H31" i="4" s="1"/>
  <c r="O28" i="4"/>
  <c r="O20" i="4"/>
  <c r="S28" i="4"/>
  <c r="S20" i="4"/>
  <c r="U112" i="4"/>
  <c r="M28" i="4"/>
  <c r="M20" i="4"/>
  <c r="T105" i="4"/>
  <c r="U92" i="4"/>
  <c r="U105" i="4" s="1"/>
  <c r="T28" i="4"/>
  <c r="T20" i="4"/>
  <c r="E75" i="4"/>
  <c r="E84" i="4" s="1"/>
  <c r="K16" i="4"/>
  <c r="J125" i="4"/>
  <c r="K125" i="4" s="1"/>
  <c r="N112" i="4"/>
  <c r="N122" i="4"/>
  <c r="P108" i="4"/>
  <c r="P112" i="4" s="1"/>
  <c r="W20" i="4"/>
  <c r="X20" i="4"/>
  <c r="Y20" i="4"/>
  <c r="J92" i="4"/>
  <c r="J117" i="4"/>
  <c r="J126" i="4"/>
  <c r="K126" i="4" s="1"/>
  <c r="K118" i="4"/>
  <c r="P98" i="4"/>
  <c r="U22" i="4"/>
  <c r="S112" i="4"/>
  <c r="N28" i="4"/>
  <c r="J119" i="4"/>
  <c r="K119" i="4" s="1"/>
  <c r="K97" i="4"/>
  <c r="K108" i="4"/>
  <c r="K120" i="4"/>
  <c r="P100" i="4"/>
  <c r="T112" i="4"/>
  <c r="O120" i="4"/>
  <c r="O122" i="4" s="1"/>
  <c r="P115" i="4"/>
  <c r="F92" i="4"/>
  <c r="F102" i="4"/>
  <c r="F93" i="4"/>
  <c r="F103" i="4"/>
  <c r="F116" i="4"/>
  <c r="F126" i="4"/>
  <c r="J99" i="4"/>
  <c r="K99" i="4" s="1"/>
  <c r="K98" i="4"/>
  <c r="K109" i="4"/>
  <c r="P101" i="4"/>
  <c r="T117" i="4"/>
  <c r="F95" i="4"/>
  <c r="F104" i="4"/>
  <c r="F117" i="4"/>
  <c r="N105" i="4"/>
  <c r="O125" i="4"/>
  <c r="P125" i="4" s="1"/>
  <c r="S105" i="4"/>
  <c r="J111" i="4"/>
  <c r="K111" i="4" s="1"/>
  <c r="Q23" i="4"/>
  <c r="P75" i="4"/>
  <c r="P84" i="4" s="1"/>
  <c r="J28" i="4"/>
  <c r="E105" i="4"/>
  <c r="D75" i="4"/>
  <c r="D84" i="4" s="1"/>
  <c r="E122" i="4"/>
  <c r="D112" i="4"/>
  <c r="D122" i="4"/>
  <c r="D105" i="4"/>
  <c r="G75" i="4"/>
  <c r="G84" i="4" s="1"/>
  <c r="E56" i="4"/>
  <c r="D56" i="4"/>
  <c r="G56" i="4"/>
  <c r="F56" i="4"/>
  <c r="C124" i="4"/>
  <c r="C127" i="4" s="1"/>
  <c r="C56" i="4"/>
  <c r="C75" i="4"/>
  <c r="C84" i="4" s="1"/>
  <c r="J86" i="4" l="1"/>
  <c r="F86" i="4"/>
  <c r="Y31" i="4"/>
  <c r="T86" i="4"/>
  <c r="L31" i="4"/>
  <c r="W30" i="4"/>
  <c r="P28" i="4"/>
  <c r="P31" i="4" s="1"/>
  <c r="R86" i="4"/>
  <c r="Q86" i="4"/>
  <c r="P20" i="4"/>
  <c r="Y86" i="4"/>
  <c r="L86" i="4"/>
  <c r="U86" i="4"/>
  <c r="O86" i="4"/>
  <c r="M86" i="4"/>
  <c r="E86" i="4"/>
  <c r="K86" i="4"/>
  <c r="D124" i="4"/>
  <c r="D127" i="4" s="1"/>
  <c r="I86" i="4"/>
  <c r="J112" i="4"/>
  <c r="N124" i="4"/>
  <c r="N127" i="4" s="1"/>
  <c r="O105" i="4"/>
  <c r="O124" i="4" s="1"/>
  <c r="O127" i="4" s="1"/>
  <c r="G86" i="4"/>
  <c r="N86" i="4"/>
  <c r="Y124" i="4"/>
  <c r="Y127" i="4" s="1"/>
  <c r="I30" i="4"/>
  <c r="V86" i="4"/>
  <c r="S86" i="4"/>
  <c r="H86" i="4"/>
  <c r="K20" i="4"/>
  <c r="X124" i="4"/>
  <c r="X127" i="4" s="1"/>
  <c r="U28" i="4"/>
  <c r="U30" i="4" s="1"/>
  <c r="K28" i="4"/>
  <c r="F105" i="4"/>
  <c r="I124" i="4"/>
  <c r="I127" i="4" s="1"/>
  <c r="P105" i="4"/>
  <c r="F112" i="4"/>
  <c r="P86" i="4"/>
  <c r="L30" i="4"/>
  <c r="J105" i="4"/>
  <c r="K92" i="4"/>
  <c r="K105" i="4" s="1"/>
  <c r="H30" i="4"/>
  <c r="F122" i="4"/>
  <c r="M31" i="4"/>
  <c r="M30" i="4"/>
  <c r="Q28" i="4"/>
  <c r="Q20" i="4"/>
  <c r="O31" i="4"/>
  <c r="O30" i="4"/>
  <c r="S31" i="4"/>
  <c r="S30" i="4"/>
  <c r="E124" i="4"/>
  <c r="E127" i="4" s="1"/>
  <c r="U117" i="4"/>
  <c r="U122" i="4" s="1"/>
  <c r="U124" i="4" s="1"/>
  <c r="U127" i="4" s="1"/>
  <c r="T122" i="4"/>
  <c r="T124" i="4" s="1"/>
  <c r="T127" i="4" s="1"/>
  <c r="K112" i="4"/>
  <c r="P120" i="4"/>
  <c r="P122" i="4" s="1"/>
  <c r="S124" i="4"/>
  <c r="S127" i="4" s="1"/>
  <c r="J122" i="4"/>
  <c r="K117" i="4"/>
  <c r="K122" i="4" s="1"/>
  <c r="N31" i="4"/>
  <c r="N30" i="4"/>
  <c r="T31" i="4"/>
  <c r="T30" i="4"/>
  <c r="R31" i="4"/>
  <c r="R30" i="4"/>
  <c r="J31" i="4"/>
  <c r="J30" i="4"/>
  <c r="C86" i="4"/>
  <c r="P30" i="4" l="1"/>
  <c r="P124" i="4"/>
  <c r="P127" i="4" s="1"/>
  <c r="U31" i="4"/>
  <c r="F124" i="4"/>
  <c r="F127" i="4" s="1"/>
  <c r="K31" i="4"/>
  <c r="K30" i="4"/>
  <c r="Q31" i="4"/>
  <c r="Q30" i="4"/>
  <c r="K124" i="4"/>
  <c r="K127" i="4" s="1"/>
  <c r="J124" i="4"/>
  <c r="J127" i="4" s="1"/>
  <c r="F34" i="4"/>
  <c r="F29" i="4"/>
  <c r="F26" i="4"/>
  <c r="F25" i="4"/>
  <c r="F21" i="4"/>
  <c r="F18" i="4"/>
  <c r="F14" i="4"/>
  <c r="F12" i="4"/>
  <c r="K13" i="4" s="1"/>
  <c r="G27" i="4"/>
  <c r="G22" i="4"/>
  <c r="G16" i="4"/>
  <c r="G23" i="4" s="1"/>
  <c r="E27" i="4"/>
  <c r="E22" i="4"/>
  <c r="E16" i="4"/>
  <c r="E23" i="4" s="1"/>
  <c r="D27" i="4"/>
  <c r="D22" i="4"/>
  <c r="D16" i="4"/>
  <c r="C27" i="4"/>
  <c r="C22" i="4"/>
  <c r="C16" i="4"/>
  <c r="C23" i="4" s="1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G28" i="4" l="1"/>
  <c r="F27" i="4"/>
  <c r="F22" i="4"/>
  <c r="F16" i="4"/>
  <c r="F23" i="4" s="1"/>
  <c r="F20" i="4" s="1"/>
  <c r="G20" i="4"/>
  <c r="C28" i="4"/>
  <c r="C20" i="4"/>
  <c r="E28" i="4"/>
  <c r="E20" i="4"/>
  <c r="D23" i="4"/>
  <c r="F28" i="4" l="1"/>
  <c r="D28" i="4"/>
  <c r="D20" i="4"/>
  <c r="C30" i="4"/>
  <c r="C31" i="4"/>
  <c r="E31" i="4"/>
  <c r="E30" i="4"/>
  <c r="G31" i="4"/>
  <c r="G30" i="4"/>
  <c r="F30" i="4" l="1"/>
  <c r="F31" i="4"/>
  <c r="D31" i="4"/>
  <c r="D30" i="4"/>
  <c r="V20" i="4" l="1"/>
  <c r="V28" i="4"/>
  <c r="V30" i="4"/>
  <c r="V31" i="4" l="1"/>
  <c r="H36" i="9" l="1"/>
  <c r="H35" i="9"/>
  <c r="H33" i="9"/>
  <c r="K36" i="9"/>
  <c r="K35" i="9"/>
  <c r="K33" i="9"/>
  <c r="I37" i="11"/>
  <c r="I33" i="11"/>
  <c r="K27" i="2"/>
  <c r="K26" i="2"/>
  <c r="G81" i="7"/>
  <c r="G50" i="7"/>
  <c r="J42" i="9"/>
  <c r="M27" i="2"/>
  <c r="M26" i="2"/>
  <c r="G24" i="9"/>
  <c r="G23" i="9"/>
  <c r="L130" i="7"/>
  <c r="K131" i="7"/>
  <c r="K128" i="7"/>
  <c r="K81" i="7"/>
  <c r="K50" i="7"/>
  <c r="M218" i="7"/>
  <c r="M133" i="7"/>
  <c r="I24" i="9"/>
  <c r="I23" i="9"/>
  <c r="H218" i="7"/>
  <c r="H133" i="7"/>
  <c r="K218" i="7"/>
  <c r="K133" i="7"/>
  <c r="I27" i="2"/>
  <c r="I26" i="2"/>
  <c r="L37" i="11"/>
  <c r="L33" i="11"/>
  <c r="I33" i="9"/>
  <c r="I35" i="9"/>
  <c r="I36" i="9"/>
  <c r="L210" i="7"/>
  <c r="L208" i="7"/>
  <c r="L207" i="7"/>
  <c r="L205" i="7"/>
  <c r="L218" i="7"/>
  <c r="L133" i="7"/>
  <c r="K47" i="9"/>
  <c r="K46" i="9"/>
  <c r="K39" i="9"/>
  <c r="J47" i="9"/>
  <c r="J46" i="9"/>
  <c r="J39" i="9"/>
  <c r="M78" i="7"/>
  <c r="M75" i="7"/>
  <c r="H47" i="9"/>
  <c r="H46" i="9"/>
  <c r="H39" i="9"/>
  <c r="G27" i="2"/>
  <c r="G26" i="2"/>
  <c r="T33" i="11"/>
  <c r="T24" i="11"/>
  <c r="T26" i="11"/>
  <c r="C62" i="11"/>
  <c r="J33" i="9"/>
  <c r="J35" i="9"/>
  <c r="J36" i="9"/>
  <c r="I81" i="7"/>
  <c r="I50" i="7"/>
  <c r="H128" i="7"/>
  <c r="H131" i="7"/>
  <c r="I130" i="7"/>
  <c r="H37" i="11"/>
  <c r="H33" i="11"/>
  <c r="G39" i="9"/>
  <c r="G46" i="9"/>
  <c r="G47" i="9"/>
  <c r="K37" i="11"/>
  <c r="K33" i="11"/>
  <c r="I53" i="6"/>
  <c r="I44" i="6"/>
  <c r="I46" i="6"/>
  <c r="I47" i="6"/>
  <c r="I50" i="6"/>
  <c r="I52" i="6"/>
  <c r="L36" i="9"/>
  <c r="L35" i="9"/>
  <c r="L33" i="9"/>
  <c r="T11" i="11"/>
  <c r="T16" i="11"/>
  <c r="T28" i="11"/>
  <c r="I210" i="7"/>
  <c r="I208" i="7"/>
  <c r="I207" i="7"/>
  <c r="I205" i="7"/>
  <c r="I133" i="7"/>
  <c r="I218" i="7"/>
  <c r="M33" i="9"/>
  <c r="M35" i="9"/>
  <c r="M36" i="9"/>
  <c r="L75" i="7"/>
  <c r="L78" i="7"/>
  <c r="G12" i="9"/>
  <c r="J220" i="7"/>
  <c r="K75" i="7"/>
  <c r="K78" i="7"/>
  <c r="I17" i="9"/>
  <c r="I18" i="9"/>
  <c r="I28" i="7"/>
  <c r="I27" i="7"/>
  <c r="J12" i="9"/>
  <c r="G210" i="7"/>
  <c r="G208" i="7"/>
  <c r="G207" i="7"/>
  <c r="G205" i="7"/>
  <c r="J53" i="6"/>
  <c r="J44" i="6"/>
  <c r="J46" i="6"/>
  <c r="J47" i="6"/>
  <c r="J50" i="6"/>
  <c r="J52" i="6"/>
  <c r="H87" i="7"/>
  <c r="H105" i="7"/>
  <c r="H23" i="9"/>
  <c r="H24" i="9"/>
  <c r="L24" i="9"/>
  <c r="L23" i="9"/>
  <c r="K102" i="7"/>
  <c r="L27" i="2"/>
  <c r="L26" i="2"/>
  <c r="H42" i="9"/>
  <c r="I87" i="7"/>
  <c r="I105" i="7"/>
  <c r="I128" i="7"/>
  <c r="I131" i="7"/>
  <c r="J130" i="7"/>
  <c r="L201" i="7"/>
  <c r="L102" i="7"/>
  <c r="M39" i="9"/>
  <c r="M46" i="9"/>
  <c r="M47" i="9"/>
  <c r="M131" i="7"/>
  <c r="M128" i="7"/>
  <c r="I25" i="7"/>
  <c r="I39" i="9"/>
  <c r="I46" i="9"/>
  <c r="I47" i="9"/>
  <c r="G53" i="6"/>
  <c r="G44" i="6"/>
  <c r="G46" i="6"/>
  <c r="G47" i="6"/>
  <c r="G50" i="6"/>
  <c r="G52" i="6"/>
  <c r="L48" i="6"/>
  <c r="G33" i="11"/>
  <c r="G37" i="11"/>
  <c r="Q11" i="11"/>
  <c r="M52" i="6"/>
  <c r="M44" i="6"/>
  <c r="M46" i="6"/>
  <c r="M47" i="6"/>
  <c r="M50" i="6"/>
  <c r="M53" i="6"/>
  <c r="Q29" i="11"/>
  <c r="L81" i="7"/>
  <c r="L50" i="7"/>
  <c r="H48" i="6"/>
  <c r="L27" i="7"/>
  <c r="L28" i="7"/>
  <c r="L17" i="9"/>
  <c r="L18" i="9"/>
  <c r="M205" i="7"/>
  <c r="M207" i="7"/>
  <c r="M208" i="7"/>
  <c r="M210" i="7"/>
  <c r="K48" i="6"/>
  <c r="M130" i="7"/>
  <c r="L131" i="7"/>
  <c r="L87" i="7"/>
  <c r="L105" i="7"/>
  <c r="L128" i="7"/>
  <c r="J133" i="7"/>
  <c r="J218" i="7"/>
  <c r="I14" i="9"/>
  <c r="I79" i="7"/>
  <c r="I63" i="7"/>
  <c r="I70" i="7"/>
  <c r="I15" i="9"/>
  <c r="H17" i="9"/>
  <c r="H28" i="7"/>
  <c r="H18" i="9"/>
  <c r="H27" i="7"/>
  <c r="J128" i="7"/>
  <c r="J131" i="7"/>
  <c r="K130" i="7"/>
  <c r="M37" i="11"/>
  <c r="J27" i="2"/>
  <c r="J26" i="2"/>
  <c r="G27" i="7"/>
  <c r="G18" i="9"/>
  <c r="G17" i="9"/>
  <c r="G28" i="7"/>
  <c r="H25" i="2"/>
  <c r="H24" i="2"/>
  <c r="J24" i="2"/>
  <c r="J25" i="2"/>
  <c r="M201" i="7"/>
  <c r="M102" i="7"/>
  <c r="M32" i="11"/>
  <c r="I220" i="7"/>
  <c r="M59" i="7"/>
  <c r="G59" i="7"/>
  <c r="H59" i="7"/>
  <c r="I59" i="7"/>
  <c r="J59" i="7"/>
  <c r="K59" i="7"/>
  <c r="L59" i="7"/>
  <c r="G48" i="6"/>
  <c r="I78" i="7"/>
  <c r="H15" i="9"/>
  <c r="H14" i="9"/>
  <c r="H63" i="7"/>
  <c r="H70" i="7"/>
  <c r="H79" i="7"/>
  <c r="L24" i="2"/>
  <c r="L25" i="2"/>
  <c r="M10" i="9"/>
  <c r="M11" i="9"/>
  <c r="M48" i="6"/>
  <c r="M42" i="9"/>
  <c r="J37" i="11"/>
  <c r="J33" i="11"/>
  <c r="J27" i="7"/>
  <c r="J18" i="9"/>
  <c r="J28" i="7"/>
  <c r="J17" i="9"/>
  <c r="J102" i="7"/>
  <c r="I31" i="11"/>
  <c r="I32" i="11"/>
  <c r="L31" i="11"/>
  <c r="L32" i="11"/>
  <c r="H78" i="7"/>
  <c r="I201" i="7"/>
  <c r="I102" i="7"/>
  <c r="Q28" i="11"/>
  <c r="L10" i="9"/>
  <c r="L42" i="7"/>
  <c r="L11" i="9"/>
  <c r="G42" i="9"/>
  <c r="J15" i="9"/>
  <c r="J14" i="9"/>
  <c r="J63" i="7"/>
  <c r="J70" i="7"/>
  <c r="J79" i="7"/>
  <c r="K31" i="11"/>
  <c r="K32" i="11"/>
  <c r="M24" i="9"/>
  <c r="M87" i="7"/>
  <c r="M105" i="7"/>
  <c r="M23" i="9"/>
  <c r="I12" i="9"/>
  <c r="J81" i="7"/>
  <c r="J50" i="7"/>
  <c r="H205" i="7"/>
  <c r="H207" i="7"/>
  <c r="H208" i="7"/>
  <c r="H210" i="7"/>
  <c r="H25" i="7"/>
  <c r="H26" i="2"/>
  <c r="H27" i="2"/>
  <c r="H130" i="7"/>
  <c r="G131" i="7"/>
  <c r="M42" i="7"/>
  <c r="M50" i="7"/>
  <c r="M81" i="7"/>
  <c r="H10" i="9"/>
  <c r="H11" i="9"/>
  <c r="H220" i="7"/>
  <c r="M15" i="9"/>
  <c r="M14" i="9"/>
  <c r="M57" i="7"/>
  <c r="M63" i="7"/>
  <c r="M70" i="7"/>
  <c r="M79" i="7"/>
  <c r="G10" i="9"/>
  <c r="G42" i="7"/>
  <c r="G11" i="9"/>
  <c r="G220" i="7"/>
  <c r="K52" i="6"/>
  <c r="K44" i="6"/>
  <c r="K46" i="6"/>
  <c r="K47" i="6"/>
  <c r="K50" i="6"/>
  <c r="K53" i="6"/>
  <c r="K14" i="9"/>
  <c r="K15" i="9"/>
  <c r="K63" i="7"/>
  <c r="K70" i="7"/>
  <c r="K79" i="7"/>
  <c r="H75" i="7"/>
  <c r="I75" i="7"/>
  <c r="J75" i="7"/>
  <c r="J78" i="7"/>
  <c r="L220" i="7"/>
  <c r="I24" i="2"/>
  <c r="I25" i="2"/>
  <c r="G24" i="2"/>
  <c r="G25" i="2"/>
  <c r="L14" i="9"/>
  <c r="L15" i="9"/>
  <c r="H57" i="7"/>
  <c r="I57" i="7"/>
  <c r="J57" i="7"/>
  <c r="K57" i="7"/>
  <c r="L57" i="7"/>
  <c r="L63" i="7"/>
  <c r="L70" i="7"/>
  <c r="L79" i="7"/>
  <c r="K220" i="7"/>
  <c r="M220" i="7"/>
  <c r="M273" i="7"/>
  <c r="K27" i="7"/>
  <c r="K18" i="9"/>
  <c r="K17" i="9"/>
  <c r="K28" i="7"/>
  <c r="K12" i="9"/>
  <c r="H12" i="9"/>
  <c r="M38" i="7"/>
  <c r="M12" i="9"/>
  <c r="K24" i="2"/>
  <c r="K25" i="2"/>
  <c r="I10" i="9"/>
  <c r="I42" i="7"/>
  <c r="I11" i="9"/>
  <c r="G75" i="7"/>
  <c r="G78" i="7"/>
  <c r="J203" i="7"/>
  <c r="J101" i="7"/>
  <c r="J103" i="7"/>
  <c r="J31" i="11"/>
  <c r="J32" i="11"/>
  <c r="J25" i="7"/>
  <c r="J87" i="7"/>
  <c r="J105" i="7"/>
  <c r="J23" i="9"/>
  <c r="J24" i="9"/>
  <c r="J48" i="6"/>
  <c r="H201" i="7"/>
  <c r="H102" i="7"/>
  <c r="G31" i="11"/>
  <c r="G32" i="11"/>
  <c r="G79" i="7"/>
  <c r="G15" i="9"/>
  <c r="G201" i="7"/>
  <c r="G102" i="7"/>
  <c r="G57" i="7"/>
  <c r="G63" i="7"/>
  <c r="G70" i="7"/>
  <c r="G14" i="9"/>
  <c r="L23" i="7"/>
  <c r="L203" i="7"/>
  <c r="L101" i="7"/>
  <c r="L103" i="7"/>
  <c r="L42" i="9"/>
  <c r="M24" i="2"/>
  <c r="M25" i="2"/>
  <c r="I48" i="6"/>
  <c r="Q33" i="11"/>
  <c r="M23" i="7"/>
  <c r="M203" i="7"/>
  <c r="M101" i="7"/>
  <c r="M103" i="7"/>
  <c r="M31" i="11"/>
  <c r="M33" i="11"/>
  <c r="Q12" i="11"/>
  <c r="Q14" i="11"/>
  <c r="Q15" i="11"/>
  <c r="Q16" i="11"/>
  <c r="Q24" i="11"/>
  <c r="Q26" i="11"/>
  <c r="C47" i="11"/>
  <c r="H53" i="6"/>
  <c r="H44" i="6"/>
  <c r="H46" i="6"/>
  <c r="H47" i="6"/>
  <c r="H50" i="6"/>
  <c r="H52" i="6"/>
  <c r="L38" i="7"/>
  <c r="L12" i="9"/>
  <c r="M18" i="9"/>
  <c r="M27" i="7"/>
  <c r="M17" i="9"/>
  <c r="L273" i="7"/>
  <c r="M217" i="7"/>
  <c r="M274" i="7"/>
  <c r="M19" i="7"/>
  <c r="M21" i="7"/>
  <c r="M22" i="7"/>
  <c r="M25" i="7"/>
  <c r="M28" i="7"/>
  <c r="L19" i="7"/>
  <c r="L21" i="7"/>
  <c r="L22" i="7"/>
  <c r="L25" i="7"/>
  <c r="L39" i="9"/>
  <c r="L46" i="9"/>
  <c r="L47" i="9"/>
  <c r="J11" i="9"/>
  <c r="J42" i="7"/>
  <c r="J10" i="9"/>
  <c r="K203" i="7"/>
  <c r="K101" i="7"/>
  <c r="K103" i="7"/>
  <c r="K42" i="9"/>
  <c r="K23" i="7"/>
  <c r="K201" i="7"/>
  <c r="K205" i="7"/>
  <c r="K207" i="7"/>
  <c r="K208" i="7"/>
  <c r="K210" i="7"/>
  <c r="K10" i="9"/>
  <c r="I38" i="7"/>
  <c r="J38" i="7"/>
  <c r="K38" i="7"/>
  <c r="K42" i="7"/>
  <c r="K11" i="9"/>
  <c r="I274" i="7"/>
  <c r="I19" i="7"/>
  <c r="I21" i="7"/>
  <c r="I22" i="7"/>
  <c r="I23" i="7"/>
  <c r="I203" i="7"/>
  <c r="I101" i="7"/>
  <c r="I103" i="7"/>
  <c r="I42" i="9"/>
  <c r="G23" i="7"/>
  <c r="G203" i="7"/>
  <c r="G101" i="7"/>
  <c r="G103" i="7"/>
  <c r="G33" i="9"/>
  <c r="G35" i="9"/>
  <c r="G36" i="9"/>
  <c r="L52" i="6"/>
  <c r="K273" i="7"/>
  <c r="L217" i="7"/>
  <c r="L274" i="7"/>
  <c r="L44" i="6"/>
  <c r="L46" i="6"/>
  <c r="L47" i="6"/>
  <c r="L50" i="6"/>
  <c r="L53" i="6"/>
  <c r="J274" i="7"/>
  <c r="J19" i="7"/>
  <c r="J21" i="7"/>
  <c r="J22" i="7"/>
  <c r="J23" i="7"/>
  <c r="J201" i="7"/>
  <c r="J205" i="7"/>
  <c r="J207" i="7"/>
  <c r="J208" i="7"/>
  <c r="J210" i="7"/>
  <c r="H274" i="7"/>
  <c r="H19" i="7"/>
  <c r="H21" i="7"/>
  <c r="H22" i="7"/>
  <c r="H23" i="7"/>
  <c r="H203" i="7"/>
  <c r="H101" i="7"/>
  <c r="H103" i="7"/>
  <c r="H31" i="11"/>
  <c r="H32" i="11"/>
  <c r="H217" i="7"/>
  <c r="H273" i="7"/>
  <c r="I217" i="7"/>
  <c r="I273" i="7"/>
  <c r="J217" i="7"/>
  <c r="J273" i="7"/>
  <c r="K217" i="7"/>
  <c r="K274" i="7"/>
  <c r="K19" i="7"/>
  <c r="K21" i="7"/>
  <c r="K22" i="7"/>
  <c r="K25" i="7"/>
  <c r="K87" i="7"/>
  <c r="K105" i="7"/>
  <c r="K23" i="9"/>
  <c r="K24" i="9"/>
  <c r="G133" i="7"/>
  <c r="G218" i="7"/>
  <c r="G273" i="7"/>
  <c r="G274" i="7"/>
  <c r="G19" i="7"/>
  <c r="G21" i="7"/>
  <c r="G22" i="7"/>
  <c r="G25" i="7"/>
  <c r="G87" i="7"/>
  <c r="G105" i="7"/>
  <c r="G128" i="7"/>
  <c r="G38" i="7"/>
  <c r="H38" i="7"/>
  <c r="H42" i="7"/>
  <c r="H50" i="7"/>
  <c r="H8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tc={6154F610-220B-4A53-864F-482D388BE7E2}</author>
    <author>tc={0C33D9BE-354B-492B-9B75-917F144D061A}</author>
    <author>tc={DD292B1C-4585-4E71-B7A9-D7E79E558140}</author>
    <author>tc={872B0A54-09DB-4232-A9F2-9E6A63E421B5}</author>
    <author>tc={1B9D281E-25F7-4771-AE49-024643704A14}</author>
  </authors>
  <commentList>
    <comment ref="G41" authorId="0" shapeId="0" xr:uid="{6154F610-220B-4A53-864F-482D388BE7E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Changes in Other Current Assets from CFS to line item
Reply:
    Also added Proceeds from Sale of Common Stock</t>
      </text>
    </comment>
    <comment ref="G55" authorId="1" shapeId="0" xr:uid="{0C33D9BE-354B-492B-9B75-917F144D061A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SBC expense from CFS to line item</t>
      </text>
    </comment>
    <comment ref="G65" authorId="2" shapeId="0" xr:uid="{DD292B1C-4585-4E71-B7A9-D7E79E55814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Repayments of LT Debt from CFS to line item</t>
      </text>
    </comment>
    <comment ref="G76" authorId="3" shapeId="0" xr:uid="{872B0A54-09DB-4232-A9F2-9E6A63E421B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Impairment Loss to from CFS to line item
Reply:
    Also added Other Financing Activities</t>
      </text>
    </comment>
    <comment ref="G141" authorId="4" shapeId="0" xr:uid="{1B9D281E-25F7-4771-AE49-024643704A14}">
      <text>
        <t>[Threaded comment]
Your version of Excel allows you to read this threaded comment; however, any edits to it will get removed if the file is opened in a newer version of Excel. Learn more: https://go.microsoft.com/fwlink/?linkid=870924
Comment:
    Combined Net PP&amp;E and ROU assets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tc={C4508558-B216-490A-9748-3D3C64E2E553}</author>
    <author>tc={7C64B6DD-77FD-4EC3-A70E-0589F8F806E6}</author>
    <author>tc={7C08F114-F49D-4848-AE64-9DD298E02BC7}</author>
    <author>tc={25E79448-495F-473B-AFF5-19B596BFDD65}</author>
    <author>tc={9EB1B7EA-7CCD-4789-A9AD-EBDB4B5B50C3}</author>
    <author>tc={14C8024C-F655-4A4D-A97A-D791F0DB0C0F}</author>
    <author>tc={D0C556D7-15D4-4D7F-81B4-BCA407D8305A}</author>
    <author>tc={29445F27-DBA6-4734-A8BF-10BC7482CAFF}</author>
    <author>tc={0D098C8B-D56D-444A-AD69-FAB10D5797B4}</author>
    <author>tc={57DE1874-DF3F-4FAE-BC9C-F46E86426E03}</author>
    <author>tc={537E9DA8-0A48-4B81-AB68-CB31578BB4B3}</author>
    <author>tc={9CF6BADE-4EFA-4378-AFE2-768939CCB1BA}</author>
    <author>tc={C8BBBFA9-8ABB-40C1-B8E1-0304BA3E8172}</author>
  </authors>
  <commentList>
    <comment ref="E10" authorId="0" shapeId="0" xr:uid="{C4508558-B216-490A-9748-3D3C64E2E55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 employee stock options</t>
      </text>
    </comment>
    <comment ref="J10" authorId="1" shapeId="0" xr:uid="{7C64B6DD-77FD-4EC3-A70E-0589F8F806E6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Supposed to be “Fair Value” from company’s financials
Reply:
    Also need to add “Finance Lease” values</t>
      </text>
    </comment>
    <comment ref="L10" authorId="2" shapeId="0" xr:uid="{7C08F114-F49D-4848-AE64-9DD298E02BC7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include “Unfunded Pension Liabilities”</t>
      </text>
    </comment>
    <comment ref="N10" authorId="3" shapeId="0" xr:uid="{25E79448-495F-473B-AFF5-19B596BFDD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Pull from data resources (best is CapIQ/BB) - I just used Yahoo Finance 
</t>
      </text>
    </comment>
    <comment ref="O10" authorId="4" shapeId="0" xr:uid="{9EB1B7EA-7CCD-4789-A9AD-EBDB4B5B50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Pull from data resources (best is CapIQ/BB) - I just used Yahoo Finance </t>
      </text>
    </comment>
    <comment ref="P10" authorId="5" shapeId="0" xr:uid="{14C8024C-F655-4A4D-A97A-D791F0DB0C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Pull from data resources (best is CapIQ/BB) - I just used Yahoo Finance 
</t>
      </text>
    </comment>
    <comment ref="R10" authorId="6" shapeId="0" xr:uid="{D0C556D7-15D4-4D7F-81B4-BCA407D830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Pull from data resources (best is CapIQ/BB) - I just used Yahoo Finance 
</t>
      </text>
    </comment>
    <comment ref="S10" authorId="7" shapeId="0" xr:uid="{29445F27-DBA6-4734-A8BF-10BC7482CA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Pull from data resources (best is CapIQ/BB) - I just used Yahoo Finance 
</t>
      </text>
    </comment>
    <comment ref="U10" authorId="8" shapeId="0" xr:uid="{0D098C8B-D56D-444A-AD69-FAB10D5797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Pull from data resources (best is CapIQ/BB) - I just used Yahoo Finance 
</t>
      </text>
    </comment>
    <comment ref="V10" authorId="9" shapeId="0" xr:uid="{57DE1874-DF3F-4FAE-BC9C-F46E86426E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Pull from data resources (best is CapIQ/BB) - I just used Yahoo Finance 
</t>
      </text>
    </comment>
    <comment ref="I11" authorId="10" shapeId="0" xr:uid="{537E9DA8-0A48-4B81-AB68-CB31578BB4B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most recent 10Q</t>
      </text>
    </comment>
    <comment ref="K11" authorId="11" shapeId="0" xr:uid="{9CF6BADE-4EFA-4378-AFE2-768939CCB1B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most recent 10Q</t>
      </text>
    </comment>
    <comment ref="L11" authorId="12" shapeId="0" xr:uid="{C8BBBFA9-8ABB-40C1-B8E1-0304BA3E8172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most recent 10Q</t>
      </text>
    </comment>
  </commentList>
</comments>
</file>

<file path=xl/sharedStrings.xml><?xml version="1.0" encoding="utf-8"?>
<sst xmlns="http://schemas.openxmlformats.org/spreadsheetml/2006/main" count="844" uniqueCount="407">
  <si>
    <t>Home Depot (NYSE: HD)</t>
  </si>
  <si>
    <t>Financial Statements &amp; Supporting Schedules</t>
  </si>
  <si>
    <t>Income Statement</t>
  </si>
  <si>
    <t>Period End:</t>
  </si>
  <si>
    <t>Q1-2021</t>
  </si>
  <si>
    <t>Q2-2021</t>
  </si>
  <si>
    <t>Q3-2021</t>
  </si>
  <si>
    <t>Q4-2021</t>
  </si>
  <si>
    <t>FY2020</t>
  </si>
  <si>
    <t>Q1-2020</t>
  </si>
  <si>
    <t>Q2-2020</t>
  </si>
  <si>
    <t>Q3-2020</t>
  </si>
  <si>
    <t>Q4-2020</t>
  </si>
  <si>
    <t>Q3-2024</t>
  </si>
  <si>
    <t>FY2021</t>
  </si>
  <si>
    <t>Q1-2022</t>
  </si>
  <si>
    <t>Q2-2022</t>
  </si>
  <si>
    <t>Q3-2022</t>
  </si>
  <si>
    <t>Q4-2022</t>
  </si>
  <si>
    <t>FY2022</t>
  </si>
  <si>
    <t>Q1-2023</t>
  </si>
  <si>
    <t>Q2-2023</t>
  </si>
  <si>
    <t>Q3-2023</t>
  </si>
  <si>
    <t>Q4-2023</t>
  </si>
  <si>
    <t>FY2023</t>
  </si>
  <si>
    <t>Q1-2024</t>
  </si>
  <si>
    <t>Q2-2024</t>
  </si>
  <si>
    <t>Q4-2024E</t>
  </si>
  <si>
    <t>FY2024E</t>
  </si>
  <si>
    <t>Q1-2025E</t>
  </si>
  <si>
    <t>Q2-2025E</t>
  </si>
  <si>
    <t>Q3-2025E</t>
  </si>
  <si>
    <t>Q4-2025E</t>
  </si>
  <si>
    <t>FY2025E</t>
  </si>
  <si>
    <t>Q1-2026E</t>
  </si>
  <si>
    <t>Q2-2026E</t>
  </si>
  <si>
    <t>Q3-2026E</t>
  </si>
  <si>
    <t>Q4-2026E</t>
  </si>
  <si>
    <t>FY2026E</t>
  </si>
  <si>
    <t>FY2027E</t>
  </si>
  <si>
    <t>FY2028E</t>
  </si>
  <si>
    <t>FY2029E</t>
  </si>
  <si>
    <t>FY2030E</t>
  </si>
  <si>
    <t>Revenue</t>
  </si>
  <si>
    <t>Gross Profit</t>
  </si>
  <si>
    <t>Operating Expenses</t>
  </si>
  <si>
    <t>Selling, General, and Administrative:</t>
  </si>
  <si>
    <t>EBIT</t>
  </si>
  <si>
    <t>EBITDA</t>
  </si>
  <si>
    <t>Interest &amp; Other (Income) Expense</t>
  </si>
  <si>
    <t>Interest and Investment Income:</t>
  </si>
  <si>
    <t>Interest Expense:</t>
  </si>
  <si>
    <t>Net Interest &amp; Other</t>
  </si>
  <si>
    <t xml:space="preserve">EBT </t>
  </si>
  <si>
    <t>Depreciation and Amortization</t>
  </si>
  <si>
    <t>Depreciation % Revenue:</t>
  </si>
  <si>
    <t>Income Tax Expense (%):</t>
  </si>
  <si>
    <t>Provision for Income Taxes</t>
  </si>
  <si>
    <t>Net Earnings (Net Income)</t>
  </si>
  <si>
    <t>Basic Weighted Average Common Shares</t>
  </si>
  <si>
    <t>Diluted Weighted Average Common Shares</t>
  </si>
  <si>
    <t>Basic EPS</t>
  </si>
  <si>
    <t>Diluted EPS</t>
  </si>
  <si>
    <t>USD millions (expect per share data)</t>
  </si>
  <si>
    <t>Earnings Per Share</t>
  </si>
  <si>
    <t>Shares Used in Computing EPS</t>
  </si>
  <si>
    <t>Cost of Sales</t>
  </si>
  <si>
    <t>Balance Sheet</t>
  </si>
  <si>
    <t>Cash Flow Statement</t>
  </si>
  <si>
    <t>Assets</t>
  </si>
  <si>
    <t>Cash &amp; Cash Equivalents:</t>
  </si>
  <si>
    <t>Receivables, Net:</t>
  </si>
  <si>
    <t>Merchandise Inventories:</t>
  </si>
  <si>
    <t>Other Current Assets:</t>
  </si>
  <si>
    <t>Total Current Assets</t>
  </si>
  <si>
    <t>Net Property &amp; Equipment</t>
  </si>
  <si>
    <t>Operating Lease ROU Assets</t>
  </si>
  <si>
    <t>Goodwill</t>
  </si>
  <si>
    <t>Other Assets</t>
  </si>
  <si>
    <t>Total Assets</t>
  </si>
  <si>
    <t>Total Non-Current Assets</t>
  </si>
  <si>
    <t>Liabilities &amp; Stockholders' Equity</t>
  </si>
  <si>
    <t>Short-Term Debt:</t>
  </si>
  <si>
    <t>Accounts Payable:</t>
  </si>
  <si>
    <t>Accrued Salaries and Related Expenses:</t>
  </si>
  <si>
    <t>Sales Taxes Payable:</t>
  </si>
  <si>
    <t>Deferred Revenue:</t>
  </si>
  <si>
    <t>Current Installments of Long-Term Debt:</t>
  </si>
  <si>
    <t>Current Operating Lease Liabilities:</t>
  </si>
  <si>
    <t xml:space="preserve"> </t>
  </si>
  <si>
    <t>Other Accrued Expenses:</t>
  </si>
  <si>
    <t>Total Current Liabilities</t>
  </si>
  <si>
    <t>Long-Term Debt, Excluding Current Installments:</t>
  </si>
  <si>
    <t>Long-Term Operating Lease Liabilities:</t>
  </si>
  <si>
    <t>Other Long-Term Liabilities:</t>
  </si>
  <si>
    <t>Total Non-Current Liabilities</t>
  </si>
  <si>
    <t>Total Liabilities</t>
  </si>
  <si>
    <t>Stockholders' Equity</t>
  </si>
  <si>
    <t>Common Stock:</t>
  </si>
  <si>
    <t>Paid-in Capital:</t>
  </si>
  <si>
    <t>Retained Earnings:</t>
  </si>
  <si>
    <t>Accumulated Other Comprehensive (Income) Loss:</t>
  </si>
  <si>
    <t>Treasury Stock</t>
  </si>
  <si>
    <t>Total Stockholders' Equity (Deficit)</t>
  </si>
  <si>
    <t>Total Liabilties &amp; Stockholders' Equity</t>
  </si>
  <si>
    <t>Quarterly Financial Model</t>
  </si>
  <si>
    <t>Balance Check:</t>
  </si>
  <si>
    <t>Depreciation Schedule</t>
  </si>
  <si>
    <t>OWC Schedule</t>
  </si>
  <si>
    <t>Debt Schedule</t>
  </si>
  <si>
    <t>Cash Flow From Operating Activities</t>
  </si>
  <si>
    <t>Depreciation &amp; Amortization:</t>
  </si>
  <si>
    <t>Stock-Based Compensation Expense:</t>
  </si>
  <si>
    <t>Changes in Receivables, Net:</t>
  </si>
  <si>
    <t>Changes in Merchandise Inventories:</t>
  </si>
  <si>
    <t>Changes in Other Current Assets:</t>
  </si>
  <si>
    <t>Changes in Accounts Payable &amp; Accrued Expenses:</t>
  </si>
  <si>
    <t>Changes in Deferred Revenue:</t>
  </si>
  <si>
    <t>Changes in Income Taxes Payable:</t>
  </si>
  <si>
    <t>Changes in Deferred Income Taxes:</t>
  </si>
  <si>
    <t>Other Operating Activities:</t>
  </si>
  <si>
    <t>Operating Activities</t>
  </si>
  <si>
    <t>Investing Activities</t>
  </si>
  <si>
    <t>Capital Expenditures:</t>
  </si>
  <si>
    <t>Proceeds from Sales of Property and Equipment:</t>
  </si>
  <si>
    <t>Other Investing Activities:</t>
  </si>
  <si>
    <t>Cash Flow from Investing Activities</t>
  </si>
  <si>
    <t>Financing Activities</t>
  </si>
  <si>
    <t>Proceeds of Long-Term Debt, Net of Discounts and Premiums:</t>
  </si>
  <si>
    <t>Repurchases of Common Stock:</t>
  </si>
  <si>
    <t>Proceeds from Sales of Common Stock:</t>
  </si>
  <si>
    <t>Cash Dividends:</t>
  </si>
  <si>
    <t>Other Financing Activities:</t>
  </si>
  <si>
    <t>Cash Flow from Financing Activities</t>
  </si>
  <si>
    <t>Change in Cash &amp; Cash Equivalents:</t>
  </si>
  <si>
    <t>Effect of Exchange Rate Changes on Cash &amp; Cash Equivalents:</t>
  </si>
  <si>
    <t>Cash &amp; Cash Equivalents at Beginning of Period:</t>
  </si>
  <si>
    <t>Cash &amp; Cash Equivalents at End of Period:</t>
  </si>
  <si>
    <t>Net Earnings (Net Income):</t>
  </si>
  <si>
    <t>Income Taxes Payable</t>
  </si>
  <si>
    <t>Deferred Income Taxes:</t>
  </si>
  <si>
    <t>Repayments of Long-Term Debt:</t>
  </si>
  <si>
    <t>Impairment Loss:</t>
  </si>
  <si>
    <t>Payments for Businesses Acquired:</t>
  </si>
  <si>
    <t>Proceeds from (Repayments) of Short-Term Debt:</t>
  </si>
  <si>
    <t>Intangible Assets:</t>
  </si>
  <si>
    <t>Intangible Asset Amortization:</t>
  </si>
  <si>
    <t>y/y growth %</t>
  </si>
  <si>
    <t>COGS % Rev</t>
  </si>
  <si>
    <t>SG&amp;A % Rev</t>
  </si>
  <si>
    <t>Scenario Analysis</t>
  </si>
  <si>
    <t>Revenue Growth</t>
  </si>
  <si>
    <t>Depreciation % Rev</t>
  </si>
  <si>
    <t>Scenario</t>
  </si>
  <si>
    <t>Historical</t>
  </si>
  <si>
    <t>Projections</t>
  </si>
  <si>
    <t>Annual Financial Model</t>
  </si>
  <si>
    <t>FY2020A</t>
  </si>
  <si>
    <t>FY2021A</t>
  </si>
  <si>
    <t>FY2022A</t>
  </si>
  <si>
    <t>FY2023A</t>
  </si>
  <si>
    <t>Assumptions/Drivers</t>
  </si>
  <si>
    <t>Property and Equipment (Beg. Of Year)</t>
  </si>
  <si>
    <t>CAPEX (Beg. of Year)</t>
  </si>
  <si>
    <t>Book (GAAP) Depreciation</t>
  </si>
  <si>
    <t>Useful Life:</t>
  </si>
  <si>
    <t>PP&amp;E Years:</t>
  </si>
  <si>
    <t>CAPEX Years:</t>
  </si>
  <si>
    <t>Depreciation</t>
  </si>
  <si>
    <t>Existing PP&amp;E:</t>
  </si>
  <si>
    <t>2025 CAPEX:</t>
  </si>
  <si>
    <t>2026 CAPEX:</t>
  </si>
  <si>
    <t>2027 CAPEX:</t>
  </si>
  <si>
    <t>2028 CAPEX:</t>
  </si>
  <si>
    <t>2029 CAPEX:</t>
  </si>
  <si>
    <t>Total Book Depreciation</t>
  </si>
  <si>
    <t>Accelerated Depreciation (MACRS %'s)</t>
  </si>
  <si>
    <t xml:space="preserve">Accelerated Depreciation </t>
  </si>
  <si>
    <t>Total Tax Depreciation</t>
  </si>
  <si>
    <t>Difference in Depreciation</t>
  </si>
  <si>
    <t>Tax Rate:</t>
  </si>
  <si>
    <t>Deferred Taxes</t>
  </si>
  <si>
    <t>2024 CAPEX:</t>
  </si>
  <si>
    <t>2030 CAPEX:</t>
  </si>
  <si>
    <t>Revenue growth % YoY</t>
  </si>
  <si>
    <t>CAPEX % Rev</t>
  </si>
  <si>
    <t>Historical Depreciation</t>
  </si>
  <si>
    <t>YoY growth %</t>
  </si>
  <si>
    <t>Income Tax Expense</t>
  </si>
  <si>
    <t>Share Growth %</t>
  </si>
  <si>
    <t>SBC % Rev</t>
  </si>
  <si>
    <t>DR % Rev</t>
  </si>
  <si>
    <t>Other Operating Activities % Rev</t>
  </si>
  <si>
    <t>Price per Share</t>
  </si>
  <si>
    <t>Dividend Increase %</t>
  </si>
  <si>
    <t>Current Assets</t>
  </si>
  <si>
    <t>Current Liabilities</t>
  </si>
  <si>
    <t>Days Sales Outstanding</t>
  </si>
  <si>
    <t>Days Inventory Outstanding</t>
  </si>
  <si>
    <t>Days Payable Outstanding</t>
  </si>
  <si>
    <t>Days Payable</t>
  </si>
  <si>
    <t xml:space="preserve">Days Payable </t>
  </si>
  <si>
    <t>Total Curent Assets</t>
  </si>
  <si>
    <t>Total Curent Liabilities</t>
  </si>
  <si>
    <t>Total Operating Working Capital</t>
  </si>
  <si>
    <t>Change in Operating Working Capital</t>
  </si>
  <si>
    <t>Match CFS? (Y/N)</t>
  </si>
  <si>
    <t>Changes in Sales Taxes Payable:</t>
  </si>
  <si>
    <t>Net Changes in Operating Working Capital</t>
  </si>
  <si>
    <t>Changes in Accrued Salaries &amp; Related Expenses:</t>
  </si>
  <si>
    <t>Changes in Accounts Payable</t>
  </si>
  <si>
    <t>Stock Based Compensation Expense:</t>
  </si>
  <si>
    <t>Cash Available to Pay Down Debt</t>
  </si>
  <si>
    <t>Cash at Beginning of Year:</t>
  </si>
  <si>
    <t>Cash Flow Before Debt Paydown:</t>
  </si>
  <si>
    <t>Minimum Cash Cushion:</t>
  </si>
  <si>
    <t>Total Cash Available to Pay Down Debt</t>
  </si>
  <si>
    <t>Total Issuances / (Retrirements)</t>
  </si>
  <si>
    <t>Total Interest Expense</t>
  </si>
  <si>
    <t>Cash at End of Year</t>
  </si>
  <si>
    <t>Interest Income:</t>
  </si>
  <si>
    <t>Interest Rate</t>
  </si>
  <si>
    <t>Operating Lease ROU Assets (Beginning of Year):</t>
  </si>
  <si>
    <t>Mandatory Issuances / (Retirements):</t>
  </si>
  <si>
    <t>Non-Mandatory Issuances / (Retirements):</t>
  </si>
  <si>
    <t>Operating Lease ROU Assets (End of Year)</t>
  </si>
  <si>
    <t>Interest Rate:</t>
  </si>
  <si>
    <t>Short-Term Debt</t>
  </si>
  <si>
    <t>Short-Term Debt (Beginning of Year):</t>
  </si>
  <si>
    <t>Short-Term Debt (End of Year)</t>
  </si>
  <si>
    <t>Short Term Interest Expense:</t>
  </si>
  <si>
    <t>Short-Term Interest Rate:</t>
  </si>
  <si>
    <t>Current Installments of Long-Term Debt (Beginning of Year):</t>
  </si>
  <si>
    <t>Current Installments of Long-Term Debt (End of Year)</t>
  </si>
  <si>
    <t>Current Operating Lease Liabilities (Beginning of Year):</t>
  </si>
  <si>
    <t>Current Operating Lease Liabilities (End of Year)</t>
  </si>
  <si>
    <t>Long-Term Debt, Excluding Current Installments (Beginning of Year):</t>
  </si>
  <si>
    <t>Long-Term Debt, Excluding Current Installments (End of Year)</t>
  </si>
  <si>
    <t>Long-Term Operating Lease Liabilities (Beginning of Year):</t>
  </si>
  <si>
    <t>Long-Term Operating Lease Liabilities (End of Year)</t>
  </si>
  <si>
    <t>Cash Flow Before Debt Paydown</t>
  </si>
  <si>
    <t>Operating Lease ROU Assets (Repayments)</t>
  </si>
  <si>
    <t>Current Operating Lease Liabilities (Repayments)</t>
  </si>
  <si>
    <t>Long-Term Operating Lease Liabilities (Repayments)</t>
  </si>
  <si>
    <t>Current Installments of Long-Term Debt (Repayments)</t>
  </si>
  <si>
    <t>Summary Income Statement &amp; Supporting Financials</t>
  </si>
  <si>
    <t>Gross Margin %</t>
  </si>
  <si>
    <t>Growth %</t>
  </si>
  <si>
    <t>YoY Growth %</t>
  </si>
  <si>
    <t>EBITDA Margin %</t>
  </si>
  <si>
    <t>EBT</t>
  </si>
  <si>
    <t>EBT Margin %</t>
  </si>
  <si>
    <t>Net Earnings (Income)</t>
  </si>
  <si>
    <t>Historicals</t>
  </si>
  <si>
    <t>Scenario Selection</t>
  </si>
  <si>
    <t>Base Case Scenario (1)</t>
  </si>
  <si>
    <t>Bull Case Scenario (2)</t>
  </si>
  <si>
    <t>Bear Case Scenario (3)</t>
  </si>
  <si>
    <t>COGS</t>
  </si>
  <si>
    <t>Revenue vs Net Income Data</t>
  </si>
  <si>
    <t>EBITDA Growth Data</t>
  </si>
  <si>
    <t>Revenue Growth/Revenue vs COGS vs Net Income Data</t>
  </si>
  <si>
    <t>Liquidity Ratios</t>
  </si>
  <si>
    <t>Leverage Ratios</t>
  </si>
  <si>
    <t>Profitability Ratios</t>
  </si>
  <si>
    <t>Cash Flow Ratios/Metrics</t>
  </si>
  <si>
    <t>Key Financial Ratios</t>
  </si>
  <si>
    <t>Charts/Graphs</t>
  </si>
  <si>
    <t>COGS Growth %</t>
  </si>
  <si>
    <t>Debt</t>
  </si>
  <si>
    <t>UFCF</t>
  </si>
  <si>
    <t>CAPEX</t>
  </si>
  <si>
    <t>Diluted Shares Outstanding</t>
  </si>
  <si>
    <t>Total Debt</t>
  </si>
  <si>
    <t>Tax Rate</t>
  </si>
  <si>
    <t>NOPAT</t>
  </si>
  <si>
    <t>Operating Lease Interest Element</t>
  </si>
  <si>
    <t>D&amp;A</t>
  </si>
  <si>
    <t>Deferred Income Taxes</t>
  </si>
  <si>
    <t>Change in Working Capital</t>
  </si>
  <si>
    <t>Net Income</t>
  </si>
  <si>
    <t>Repayments of Debt Principal</t>
  </si>
  <si>
    <t>New Debt Issuances</t>
  </si>
  <si>
    <t>FCF</t>
  </si>
  <si>
    <t>LFCF</t>
  </si>
  <si>
    <t>Current Ratio</t>
  </si>
  <si>
    <t>Acid-Test Ratio</t>
  </si>
  <si>
    <t>Cash Ratio</t>
  </si>
  <si>
    <t>Debt Ratio</t>
  </si>
  <si>
    <t>D/E Ratio</t>
  </si>
  <si>
    <t>ROA</t>
  </si>
  <si>
    <t>ROE</t>
  </si>
  <si>
    <t>UFCF Margin %</t>
  </si>
  <si>
    <t>LFCF Margin %</t>
  </si>
  <si>
    <t>Discounted Cash Flow Analysis</t>
  </si>
  <si>
    <t>% Growth</t>
  </si>
  <si>
    <t>D&amp;A % Rev</t>
  </si>
  <si>
    <t>EBIT Margin %</t>
  </si>
  <si>
    <t>Tax Rate %</t>
  </si>
  <si>
    <t>Add: D&amp;A</t>
  </si>
  <si>
    <t>Less: CAPEX</t>
  </si>
  <si>
    <t>Less: Change in Net Working Capital</t>
  </si>
  <si>
    <t>Change in NWC % Rev</t>
  </si>
  <si>
    <t>Discount Period</t>
  </si>
  <si>
    <t>WACC</t>
  </si>
  <si>
    <t>Discount Factor</t>
  </si>
  <si>
    <t>PV of UFCF</t>
  </si>
  <si>
    <t>FCF Growth %</t>
  </si>
  <si>
    <t>Operating Margin %</t>
  </si>
  <si>
    <t>Growth Rate %</t>
  </si>
  <si>
    <t>(-) Cash &amp; Investments</t>
  </si>
  <si>
    <t>(-) Net Operating Losses</t>
  </si>
  <si>
    <t>(+) Total Debt &amp; Finance Leases</t>
  </si>
  <si>
    <t>(+) Preferred Stock</t>
  </si>
  <si>
    <t>(+) Noncontrolling Interests</t>
  </si>
  <si>
    <t>(+) Unfunded Pensions</t>
  </si>
  <si>
    <t>(+) Operating Leases</t>
  </si>
  <si>
    <t>WACC Analysis</t>
  </si>
  <si>
    <t>Beta</t>
  </si>
  <si>
    <t>Cost of Equity</t>
  </si>
  <si>
    <t>Capital Structure</t>
  </si>
  <si>
    <t>Preferred</t>
  </si>
  <si>
    <t>Sum of PV UFCF</t>
  </si>
  <si>
    <t>Gordon Growth Method</t>
  </si>
  <si>
    <t>PV of Terminal Value</t>
  </si>
  <si>
    <t>(+) Cash &amp; Investments</t>
  </si>
  <si>
    <t>(+) Net Operating Losses</t>
  </si>
  <si>
    <t>(-) Total Debt &amp; Finance Leases</t>
  </si>
  <si>
    <t>(-) Preferred Stock</t>
  </si>
  <si>
    <t>(-) Operating Leases</t>
  </si>
  <si>
    <t>(-) Noncontrolling Interests</t>
  </si>
  <si>
    <t>(-) Unfunded Pensions</t>
  </si>
  <si>
    <t>Implied Equity Value</t>
  </si>
  <si>
    <t>FY2031E</t>
  </si>
  <si>
    <t>FY2024A</t>
  </si>
  <si>
    <t>Weighted Average Cost of Capital (WACC)</t>
  </si>
  <si>
    <t>30 Year US Treasury</t>
  </si>
  <si>
    <t>Market Risk Premium</t>
  </si>
  <si>
    <t>Cost of Debt</t>
  </si>
  <si>
    <t>Total Common Equity</t>
  </si>
  <si>
    <t>Total Preferred Equity</t>
  </si>
  <si>
    <t>Total Noncontrolling Interests</t>
  </si>
  <si>
    <t>%</t>
  </si>
  <si>
    <t>Unit</t>
  </si>
  <si>
    <t>Value</t>
  </si>
  <si>
    <t>Took most recent 10Q and added LT and ST debt</t>
  </si>
  <si>
    <t>Took most recent 10Q value</t>
  </si>
  <si>
    <t xml:space="preserve">Total </t>
  </si>
  <si>
    <t>Market Capitalization</t>
  </si>
  <si>
    <t>Share Price</t>
  </si>
  <si>
    <t>Shares Outstanding</t>
  </si>
  <si>
    <t>Diluted Market Capitalization</t>
  </si>
  <si>
    <t>Enterprise Value (TEV)</t>
  </si>
  <si>
    <t>10Q</t>
  </si>
  <si>
    <t>% of Capital Structure</t>
  </si>
  <si>
    <t>Multiple Method</t>
  </si>
  <si>
    <t>Terminal Year UFCF</t>
  </si>
  <si>
    <t>Perpetuity Growth Rate</t>
  </si>
  <si>
    <t>Terminal Value</t>
  </si>
  <si>
    <t>Enterprise Value</t>
  </si>
  <si>
    <t>Fully Diluted Shares Outstanding</t>
  </si>
  <si>
    <t>Implied Share Price</t>
  </si>
  <si>
    <t>% EV from TV</t>
  </si>
  <si>
    <t>Implied Multiple</t>
  </si>
  <si>
    <t>Exit Year EBITDA</t>
  </si>
  <si>
    <t>EBITDA Multiple</t>
  </si>
  <si>
    <t>Implied Return</t>
  </si>
  <si>
    <t>Current Price</t>
  </si>
  <si>
    <t>Dividend Yield</t>
  </si>
  <si>
    <t>Terminal EV / EBITDA Multiple</t>
  </si>
  <si>
    <t>Terminal UFCF Growth Rates</t>
  </si>
  <si>
    <t>Public Company Comparable Analysis</t>
  </si>
  <si>
    <t>Company</t>
  </si>
  <si>
    <t>Ticker</t>
  </si>
  <si>
    <t>EV</t>
  </si>
  <si>
    <t>LTM</t>
  </si>
  <si>
    <t>2025E</t>
  </si>
  <si>
    <t>2026E</t>
  </si>
  <si>
    <t>EV/Rev</t>
  </si>
  <si>
    <t>EV/EBITDA</t>
  </si>
  <si>
    <t>Market Cap</t>
  </si>
  <si>
    <t>Lowe's Companies</t>
  </si>
  <si>
    <t>Builders FirstSource</t>
  </si>
  <si>
    <t>Floor &amp; Décor</t>
  </si>
  <si>
    <t>Arhaus Inc</t>
  </si>
  <si>
    <t>Haverty Furniture Companies Inc</t>
  </si>
  <si>
    <t>LOW</t>
  </si>
  <si>
    <t>FND</t>
  </si>
  <si>
    <t>ARHS</t>
  </si>
  <si>
    <t>HVT</t>
  </si>
  <si>
    <t>BLDR</t>
  </si>
  <si>
    <t>Cash</t>
  </si>
  <si>
    <t>Other &amp; NCI</t>
  </si>
  <si>
    <t>Capitalization</t>
  </si>
  <si>
    <t>Values in Million, Except Per Share Data</t>
  </si>
  <si>
    <t>Home Depot</t>
  </si>
  <si>
    <t>HD</t>
  </si>
  <si>
    <t>FDSO</t>
  </si>
  <si>
    <t>Maximum</t>
  </si>
  <si>
    <t>75th Percentile</t>
  </si>
  <si>
    <t>Median</t>
  </si>
  <si>
    <t>25th Percentile</t>
  </si>
  <si>
    <t>Minimum</t>
  </si>
  <si>
    <t>Equity Value/Net Income</t>
  </si>
  <si>
    <t>Growth Projections</t>
  </si>
  <si>
    <t>Sensitivity Tables</t>
  </si>
  <si>
    <t>very hard to do without capIQ or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</si>
</sst>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(&quot;$&quot;* #,##0.00_);_(&quot;$&quot;* \(#,##0.00\);_(&quot;$&quot;* &quot;-&quot;_);_(@_)"/>
    <numFmt numFmtId="165" formatCode="0.0000000000000000%"/>
    <numFmt numFmtId="166" formatCode="0.0\x"/>
    <numFmt numFmtId="167" formatCode="#,##0.000_);\(#,##0.000\)"/>
    <numFmt numFmtId="168" formatCode="#,##0.0_);\(#,##0.0\)"/>
    <numFmt numFmtId="169" formatCode="_(&quot;$&quot;* #,##0.0_);_(&quot;$&quot;* \(#,##0.0\);_(&quot;$&quot;* &quot;-&quot;?_);_(@_)"/>
  </numFmts>
  <fonts count="16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rgb="FF0000FF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i/>
      <sz val="9"/>
      <color theme="1"/>
      <name val="Arial"/>
      <family val="2"/>
    </font>
    <font>
      <sz val="9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name val="Arial"/>
      <family val="2"/>
    </font>
    <font>
      <i/>
      <sz val="9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DEE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16" fontId="1" fillId="0" borderId="0" xfId="0" applyNumberFormat="1" applyFont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1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37" fontId="1" fillId="0" borderId="0" xfId="0" applyNumberFormat="1" applyFont="1"/>
    <xf numFmtId="37" fontId="2" fillId="0" borderId="0" xfId="0" applyNumberFormat="1" applyFont="1"/>
    <xf numFmtId="10" fontId="7" fillId="0" borderId="0" xfId="0" applyNumberFormat="1" applyFont="1"/>
    <xf numFmtId="164" fontId="2" fillId="0" borderId="0" xfId="0" applyNumberFormat="1" applyFont="1"/>
    <xf numFmtId="0" fontId="9" fillId="0" borderId="0" xfId="0" applyFont="1"/>
    <xf numFmtId="0" fontId="3" fillId="0" borderId="1" xfId="0" applyFont="1" applyBorder="1"/>
    <xf numFmtId="0" fontId="3" fillId="3" borderId="2" xfId="0" applyFont="1" applyFill="1" applyBorder="1"/>
    <xf numFmtId="37" fontId="2" fillId="3" borderId="2" xfId="0" applyNumberFormat="1" applyFont="1" applyFill="1" applyBorder="1"/>
    <xf numFmtId="37" fontId="8" fillId="3" borderId="2" xfId="0" applyNumberFormat="1" applyFont="1" applyFill="1" applyBorder="1"/>
    <xf numFmtId="0" fontId="1" fillId="3" borderId="2" xfId="0" applyFont="1" applyFill="1" applyBorder="1"/>
    <xf numFmtId="37" fontId="1" fillId="3" borderId="2" xfId="0" applyNumberFormat="1" applyFont="1" applyFill="1" applyBorder="1"/>
    <xf numFmtId="37" fontId="3" fillId="3" borderId="2" xfId="0" applyNumberFormat="1" applyFont="1" applyFill="1" applyBorder="1"/>
    <xf numFmtId="37" fontId="2" fillId="4" borderId="0" xfId="0" applyNumberFormat="1" applyFont="1" applyFill="1"/>
    <xf numFmtId="0" fontId="1" fillId="4" borderId="0" xfId="0" applyFont="1" applyFill="1"/>
    <xf numFmtId="10" fontId="7" fillId="4" borderId="0" xfId="0" applyNumberFormat="1" applyFont="1" applyFill="1"/>
    <xf numFmtId="37" fontId="1" fillId="4" borderId="0" xfId="0" applyNumberFormat="1" applyFont="1" applyFill="1"/>
    <xf numFmtId="164" fontId="2" fillId="4" borderId="0" xfId="0" applyNumberFormat="1" applyFont="1" applyFill="1"/>
    <xf numFmtId="0" fontId="1" fillId="3" borderId="1" xfId="0" applyFont="1" applyFill="1" applyBorder="1"/>
    <xf numFmtId="0" fontId="3" fillId="5" borderId="2" xfId="0" applyFont="1" applyFill="1" applyBorder="1"/>
    <xf numFmtId="0" fontId="1" fillId="5" borderId="2" xfId="0" applyFont="1" applyFill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37" fontId="3" fillId="5" borderId="2" xfId="0" applyNumberFormat="1" applyFont="1" applyFill="1" applyBorder="1"/>
    <xf numFmtId="0" fontId="1" fillId="0" borderId="0" xfId="0" applyFont="1" applyAlignment="1">
      <alignment horizontal="center"/>
    </xf>
    <xf numFmtId="0" fontId="3" fillId="4" borderId="0" xfId="0" applyFont="1" applyFill="1"/>
    <xf numFmtId="0" fontId="1" fillId="4" borderId="0" xfId="0" applyFont="1" applyFill="1" applyAlignment="1">
      <alignment horizontal="left" indent="1"/>
    </xf>
    <xf numFmtId="37" fontId="3" fillId="0" borderId="0" xfId="0" applyNumberFormat="1" applyFont="1"/>
    <xf numFmtId="37" fontId="3" fillId="4" borderId="0" xfId="0" applyNumberFormat="1" applyFont="1" applyFill="1"/>
    <xf numFmtId="164" fontId="1" fillId="0" borderId="0" xfId="0" applyNumberFormat="1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indent="1"/>
    </xf>
    <xf numFmtId="10" fontId="7" fillId="0" borderId="0" xfId="0" applyNumberFormat="1" applyFont="1" applyAlignment="1">
      <alignment horizontal="right" indent="1"/>
    </xf>
    <xf numFmtId="0" fontId="7" fillId="4" borderId="0" xfId="0" applyFont="1" applyFill="1" applyAlignment="1">
      <alignment horizontal="right" indent="1"/>
    </xf>
    <xf numFmtId="10" fontId="7" fillId="4" borderId="0" xfId="0" applyNumberFormat="1" applyFont="1" applyFill="1" applyAlignment="1">
      <alignment horizontal="right" indent="1"/>
    </xf>
    <xf numFmtId="0" fontId="7" fillId="0" borderId="0" xfId="0" applyFont="1" applyAlignment="1">
      <alignment horizontal="left" indent="2"/>
    </xf>
    <xf numFmtId="37" fontId="8" fillId="0" borderId="0" xfId="0" applyNumberFormat="1" applyFont="1"/>
    <xf numFmtId="37" fontId="8" fillId="4" borderId="0" xfId="0" applyNumberFormat="1" applyFont="1" applyFill="1"/>
    <xf numFmtId="10" fontId="1" fillId="4" borderId="0" xfId="0" applyNumberFormat="1" applyFont="1" applyFill="1"/>
    <xf numFmtId="37" fontId="8" fillId="6" borderId="0" xfId="0" applyNumberFormat="1" applyFont="1" applyFill="1"/>
    <xf numFmtId="44" fontId="2" fillId="0" borderId="0" xfId="0" applyNumberFormat="1" applyFont="1"/>
    <xf numFmtId="0" fontId="0" fillId="0" borderId="0" xfId="0" applyAlignment="1">
      <alignment horizontal="center"/>
    </xf>
    <xf numFmtId="37" fontId="0" fillId="0" borderId="0" xfId="0" applyNumberFormat="1"/>
    <xf numFmtId="37" fontId="1" fillId="6" borderId="0" xfId="0" applyNumberFormat="1" applyFont="1" applyFill="1"/>
    <xf numFmtId="37" fontId="1" fillId="6" borderId="1" xfId="0" applyNumberFormat="1" applyFont="1" applyFill="1" applyBorder="1"/>
    <xf numFmtId="37" fontId="2" fillId="0" borderId="1" xfId="0" applyNumberFormat="1" applyFont="1" applyBorder="1"/>
    <xf numFmtId="37" fontId="1" fillId="6" borderId="3" xfId="0" applyNumberFormat="1" applyFont="1" applyFill="1" applyBorder="1"/>
    <xf numFmtId="0" fontId="1" fillId="0" borderId="0" xfId="0" applyFont="1" applyAlignment="1">
      <alignment horizontal="left" indent="2"/>
    </xf>
    <xf numFmtId="0" fontId="3" fillId="0" borderId="0" xfId="0" applyFont="1" applyAlignment="1">
      <alignment horizontal="left"/>
    </xf>
    <xf numFmtId="10" fontId="11" fillId="0" borderId="0" xfId="0" applyNumberFormat="1" applyFont="1"/>
    <xf numFmtId="44" fontId="1" fillId="0" borderId="0" xfId="0" applyNumberFormat="1" applyFont="1"/>
    <xf numFmtId="37" fontId="3" fillId="6" borderId="4" xfId="0" applyNumberFormat="1" applyFont="1" applyFill="1" applyBorder="1"/>
    <xf numFmtId="10" fontId="1" fillId="0" borderId="0" xfId="0" applyNumberFormat="1" applyFont="1"/>
    <xf numFmtId="10" fontId="2" fillId="0" borderId="0" xfId="0" applyNumberFormat="1" applyFont="1"/>
    <xf numFmtId="44" fontId="8" fillId="0" borderId="0" xfId="0" applyNumberFormat="1" applyFont="1"/>
    <xf numFmtId="0" fontId="0" fillId="7" borderId="0" xfId="0" applyFill="1"/>
    <xf numFmtId="0" fontId="3" fillId="7" borderId="0" xfId="0" applyFont="1" applyFill="1"/>
    <xf numFmtId="39" fontId="7" fillId="6" borderId="0" xfId="0" applyNumberFormat="1" applyFont="1" applyFill="1"/>
    <xf numFmtId="39" fontId="2" fillId="0" borderId="0" xfId="0" applyNumberFormat="1" applyFont="1"/>
    <xf numFmtId="0" fontId="7" fillId="0" borderId="0" xfId="0" applyFont="1" applyAlignment="1">
      <alignment horizontal="left" indent="3"/>
    </xf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37" fontId="1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37" fontId="1" fillId="0" borderId="1" xfId="0" applyNumberFormat="1" applyFont="1" applyBorder="1" applyAlignment="1">
      <alignment horizontal="right"/>
    </xf>
    <xf numFmtId="37" fontId="2" fillId="0" borderId="0" xfId="0" applyNumberFormat="1" applyFont="1" applyAlignment="1">
      <alignment horizontal="right"/>
    </xf>
    <xf numFmtId="37" fontId="2" fillId="0" borderId="1" xfId="0" applyNumberFormat="1" applyFont="1" applyBorder="1" applyAlignment="1">
      <alignment horizontal="right"/>
    </xf>
    <xf numFmtId="37" fontId="1" fillId="0" borderId="1" xfId="0" applyNumberFormat="1" applyFont="1" applyBorder="1"/>
    <xf numFmtId="10" fontId="0" fillId="0" borderId="0" xfId="0" applyNumberFormat="1"/>
    <xf numFmtId="0" fontId="12" fillId="0" borderId="0" xfId="0" applyFont="1" applyAlignment="1">
      <alignment horizontal="left" indent="1"/>
    </xf>
    <xf numFmtId="0" fontId="3" fillId="0" borderId="5" xfId="0" applyFont="1" applyBorder="1" applyAlignment="1">
      <alignment horizontal="center"/>
    </xf>
    <xf numFmtId="165" fontId="0" fillId="0" borderId="0" xfId="0" applyNumberFormat="1"/>
    <xf numFmtId="0" fontId="13" fillId="2" borderId="0" xfId="0" applyFont="1" applyFill="1"/>
    <xf numFmtId="16" fontId="8" fillId="2" borderId="0" xfId="0" applyNumberFormat="1" applyFont="1" applyFill="1" applyAlignment="1">
      <alignment horizontal="center"/>
    </xf>
    <xf numFmtId="16" fontId="5" fillId="2" borderId="0" xfId="0" applyNumberFormat="1" applyFont="1" applyFill="1" applyAlignment="1">
      <alignment horizontal="left"/>
    </xf>
    <xf numFmtId="2" fontId="1" fillId="0" borderId="0" xfId="0" applyNumberFormat="1" applyFont="1"/>
    <xf numFmtId="10" fontId="1" fillId="2" borderId="0" xfId="0" applyNumberFormat="1" applyFont="1" applyFill="1"/>
    <xf numFmtId="39" fontId="1" fillId="0" borderId="0" xfId="0" applyNumberFormat="1" applyFont="1"/>
    <xf numFmtId="166" fontId="7" fillId="0" borderId="0" xfId="0" applyNumberFormat="1" applyFont="1"/>
    <xf numFmtId="166" fontId="1" fillId="0" borderId="0" xfId="0" applyNumberFormat="1" applyFont="1"/>
    <xf numFmtId="10" fontId="7" fillId="0" borderId="0" xfId="0" applyNumberFormat="1" applyFont="1" applyAlignment="1">
      <alignment wrapText="1"/>
    </xf>
    <xf numFmtId="0" fontId="4" fillId="0" borderId="0" xfId="0" applyFont="1" applyAlignment="1">
      <alignment horizontal="center"/>
    </xf>
    <xf numFmtId="0" fontId="3" fillId="3" borderId="0" xfId="0" applyFont="1" applyFill="1"/>
    <xf numFmtId="37" fontId="1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 wrapText="1"/>
    </xf>
    <xf numFmtId="37" fontId="1" fillId="0" borderId="1" xfId="0" applyNumberFormat="1" applyFont="1" applyBorder="1" applyAlignment="1">
      <alignment horizontal="center"/>
    </xf>
    <xf numFmtId="10" fontId="7" fillId="0" borderId="1" xfId="0" applyNumberFormat="1" applyFont="1" applyBorder="1" applyAlignment="1">
      <alignment horizontal="center" wrapText="1"/>
    </xf>
    <xf numFmtId="37" fontId="3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 wrapText="1"/>
    </xf>
    <xf numFmtId="44" fontId="3" fillId="3" borderId="0" xfId="0" applyNumberFormat="1" applyFont="1" applyFill="1"/>
    <xf numFmtId="10" fontId="2" fillId="0" borderId="0" xfId="0" applyNumberFormat="1" applyFont="1" applyAlignment="1">
      <alignment horizontal="right" wrapText="1"/>
    </xf>
    <xf numFmtId="10" fontId="3" fillId="3" borderId="0" xfId="0" applyNumberFormat="1" applyFont="1" applyFill="1"/>
    <xf numFmtId="167" fontId="1" fillId="0" borderId="0" xfId="0" applyNumberFormat="1" applyFont="1"/>
    <xf numFmtId="0" fontId="5" fillId="2" borderId="0" xfId="0" applyFont="1" applyFill="1" applyAlignment="1">
      <alignment horizontal="center"/>
    </xf>
    <xf numFmtId="37" fontId="3" fillId="3" borderId="0" xfId="0" applyNumberFormat="1" applyFont="1" applyFill="1"/>
    <xf numFmtId="2" fontId="2" fillId="0" borderId="0" xfId="0" applyNumberFormat="1" applyFont="1"/>
    <xf numFmtId="168" fontId="2" fillId="0" borderId="0" xfId="0" applyNumberFormat="1" applyFont="1"/>
    <xf numFmtId="169" fontId="1" fillId="0" borderId="0" xfId="0" applyNumberFormat="1" applyFont="1"/>
    <xf numFmtId="44" fontId="2" fillId="0" borderId="0" xfId="0" applyNumberFormat="1" applyFont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13" xfId="0" applyFont="1" applyBorder="1"/>
    <xf numFmtId="44" fontId="1" fillId="0" borderId="9" xfId="0" applyNumberFormat="1" applyFont="1" applyBorder="1"/>
    <xf numFmtId="169" fontId="1" fillId="0" borderId="9" xfId="0" applyNumberFormat="1" applyFont="1" applyBorder="1"/>
    <xf numFmtId="44" fontId="1" fillId="0" borderId="1" xfId="0" applyNumberFormat="1" applyFont="1" applyBorder="1"/>
    <xf numFmtId="0" fontId="14" fillId="0" borderId="0" xfId="0" applyFont="1"/>
    <xf numFmtId="166" fontId="1" fillId="0" borderId="0" xfId="0" applyNumberFormat="1" applyFont="1" applyAlignment="1">
      <alignment horizontal="center"/>
    </xf>
    <xf numFmtId="166" fontId="1" fillId="0" borderId="9" xfId="0" applyNumberFormat="1" applyFont="1" applyBorder="1" applyAlignment="1">
      <alignment horizontal="center"/>
    </xf>
    <xf numFmtId="166" fontId="1" fillId="0" borderId="10" xfId="0" applyNumberFormat="1" applyFont="1" applyBorder="1" applyAlignment="1">
      <alignment horizontal="center"/>
    </xf>
    <xf numFmtId="166" fontId="1" fillId="0" borderId="12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1" fillId="0" borderId="14" xfId="0" applyNumberFormat="1" applyFont="1" applyBorder="1" applyAlignment="1">
      <alignment horizontal="center"/>
    </xf>
    <xf numFmtId="0" fontId="14" fillId="3" borderId="2" xfId="0" applyFont="1" applyFill="1" applyBorder="1"/>
    <xf numFmtId="0" fontId="14" fillId="3" borderId="2" xfId="0" applyFont="1" applyFill="1" applyBorder="1" applyAlignment="1">
      <alignment horizontal="center"/>
    </xf>
    <xf numFmtId="37" fontId="2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0" fontId="1" fillId="0" borderId="9" xfId="0" applyNumberFormat="1" applyFont="1" applyBorder="1" applyAlignment="1">
      <alignment horizontal="center"/>
    </xf>
    <xf numFmtId="10" fontId="1" fillId="0" borderId="10" xfId="0" applyNumberFormat="1" applyFont="1" applyBorder="1" applyAlignment="1">
      <alignment horizontal="center"/>
    </xf>
    <xf numFmtId="10" fontId="1" fillId="0" borderId="12" xfId="0" applyNumberFormat="1" applyFont="1" applyBorder="1" applyAlignment="1">
      <alignment horizontal="center"/>
    </xf>
    <xf numFmtId="0" fontId="3" fillId="3" borderId="6" xfId="0" applyFont="1" applyFill="1" applyBorder="1"/>
    <xf numFmtId="44" fontId="3" fillId="3" borderId="2" xfId="0" applyNumberFormat="1" applyFont="1" applyFill="1" applyBorder="1"/>
    <xf numFmtId="10" fontId="3" fillId="3" borderId="2" xfId="0" applyNumberFormat="1" applyFont="1" applyFill="1" applyBorder="1" applyAlignment="1">
      <alignment horizontal="center"/>
    </xf>
    <xf numFmtId="10" fontId="3" fillId="3" borderId="7" xfId="0" applyNumberFormat="1" applyFont="1" applyFill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0" fontId="1" fillId="0" borderId="14" xfId="0" applyNumberFormat="1" applyFont="1" applyBorder="1" applyAlignment="1">
      <alignment horizontal="center"/>
    </xf>
    <xf numFmtId="169" fontId="14" fillId="3" borderId="2" xfId="0" applyNumberFormat="1" applyFont="1" applyFill="1" applyBorder="1"/>
    <xf numFmtId="2" fontId="14" fillId="3" borderId="2" xfId="0" applyNumberFormat="1" applyFont="1" applyFill="1" applyBorder="1"/>
    <xf numFmtId="10" fontId="14" fillId="3" borderId="2" xfId="0" applyNumberFormat="1" applyFont="1" applyFill="1" applyBorder="1"/>
    <xf numFmtId="37" fontId="14" fillId="3" borderId="2" xfId="0" applyNumberFormat="1" applyFont="1" applyFill="1" applyBorder="1"/>
    <xf numFmtId="10" fontId="14" fillId="3" borderId="2" xfId="0" applyNumberFormat="1" applyFont="1" applyFill="1" applyBorder="1" applyAlignment="1">
      <alignment horizontal="center"/>
    </xf>
    <xf numFmtId="166" fontId="3" fillId="3" borderId="2" xfId="0" applyNumberFormat="1" applyFont="1" applyFill="1" applyBorder="1" applyAlignment="1">
      <alignment horizontal="center"/>
    </xf>
    <xf numFmtId="166" fontId="3" fillId="3" borderId="7" xfId="0" applyNumberFormat="1" applyFont="1" applyFill="1" applyBorder="1" applyAlignment="1">
      <alignment horizontal="center"/>
    </xf>
    <xf numFmtId="0" fontId="1" fillId="3" borderId="0" xfId="0" applyFont="1" applyFill="1"/>
    <xf numFmtId="10" fontId="2" fillId="8" borderId="0" xfId="0" applyNumberFormat="1" applyFont="1" applyFill="1" applyAlignment="1">
      <alignment horizontal="center"/>
    </xf>
    <xf numFmtId="10" fontId="2" fillId="8" borderId="0" xfId="0" applyNumberFormat="1" applyFont="1" applyFill="1"/>
    <xf numFmtId="44" fontId="1" fillId="8" borderId="0" xfId="0" applyNumberFormat="1" applyFont="1" applyFill="1"/>
    <xf numFmtId="166" fontId="15" fillId="8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37" fontId="14" fillId="3" borderId="2" xfId="0" applyNumberFormat="1" applyFont="1" applyFill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EEFF"/>
      <color rgb="FFD6DCE4"/>
      <color rgb="FF0000FF"/>
      <color rgb="FFBDE3FF"/>
      <color rgb="FFACB9CA"/>
      <color rgb="FF228CDC"/>
      <color rgb="FFF2F2F2"/>
      <color rgb="FFCCECFF"/>
      <color rgb="FFCEEFF2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1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vs Net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Charts!$E$16:$I$16</c:f>
              <c:strCache>
                <c:ptCount val="5"/>
                <c:pt idx="0">
                  <c:v>FY2022A</c:v>
                </c:pt>
                <c:pt idx="1">
                  <c:v>FY2023A</c:v>
                </c:pt>
                <c:pt idx="2">
                  <c:v>FY2024E</c:v>
                </c:pt>
                <c:pt idx="3">
                  <c:v>FY2025E</c:v>
                </c:pt>
                <c:pt idx="4">
                  <c:v>FY2026E</c:v>
                </c:pt>
              </c:strCache>
            </c:strRef>
          </c:cat>
          <c:val>
            <c:numRef>
              <c:f>Charts!$E$17:$I$17</c:f>
              <c:numCache>
                <c:formatCode>#,##0_);\(#,##0\)</c:formatCode>
                <c:ptCount val="5"/>
                <c:pt idx="0">
                  <c:v>157403</c:v>
                </c:pt>
                <c:pt idx="1">
                  <c:v>152669</c:v>
                </c:pt>
                <c:pt idx="2">
                  <c:v>155149.79776541301</c:v>
                </c:pt>
                <c:pt idx="3">
                  <c:v>157670.90730042479</c:v>
                </c:pt>
                <c:pt idx="4">
                  <c:v>160232.98365188797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A-4AD7-91A9-B14305E27372}"/>
            </c:ext>
          </c:extLst>
        </c:ser>
        <c:ser>
          <c:idx val="1"/>
          <c:order val="1"/>
          <c:tx>
            <c:v>Net Income</c:v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Charts!$E$16:$I$16</c:f>
              <c:strCache>
                <c:ptCount val="5"/>
                <c:pt idx="0">
                  <c:v>FY2022A</c:v>
                </c:pt>
                <c:pt idx="1">
                  <c:v>FY2023A</c:v>
                </c:pt>
                <c:pt idx="2">
                  <c:v>FY2024E</c:v>
                </c:pt>
                <c:pt idx="3">
                  <c:v>FY2025E</c:v>
                </c:pt>
                <c:pt idx="4">
                  <c:v>FY2026E</c:v>
                </c:pt>
              </c:strCache>
            </c:strRef>
          </c:cat>
          <c:val>
            <c:numRef>
              <c:f>Charts!$E$18:$I$18</c:f>
              <c:numCache>
                <c:formatCode>#,##0_);\(#,##0\)</c:formatCode>
                <c:ptCount val="5"/>
                <c:pt idx="0">
                  <c:v>17105</c:v>
                </c:pt>
                <c:pt idx="1">
                  <c:v>15143</c:v>
                </c:pt>
                <c:pt idx="2">
                  <c:v>15201.470448310798</c:v>
                </c:pt>
                <c:pt idx="3">
                  <c:v>15671.390138310895</c:v>
                </c:pt>
                <c:pt idx="4">
                  <c:v>16229.596096873931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FA-4AD7-91A9-B14305E273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7166591"/>
        <c:axId val="337164671"/>
      </c:barChart>
      <c:catAx>
        <c:axId val="33716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7164671"/>
        <c:crosses val="autoZero"/>
        <c:auto val="1"/>
        <c:lblAlgn val="ctr"/>
        <c:lblOffset val="100"/>
        <c:noMultiLvlLbl val="0"/>
      </c:catAx>
      <c:valAx>
        <c:axId val="337164671"/>
        <c:scaling>
          <c:orientation val="minMax"/>
        </c:scaling>
        <c:delete val="1"/>
        <c:axPos val="l"/>
        <c:numFmt formatCode="#,##0_);\(#,##0\)" sourceLinked="1"/>
        <c:majorTickMark val="none"/>
        <c:minorTickMark val="none"/>
        <c:tickLblPos val="nextTo"/>
        <c:crossAx val="33716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1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1.887504718761797E-3"/>
                  <c:y val="-4.66962352294047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11-4158-9F64-C439BBC113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Charts!$E$16:$J$16</c:f>
              <c:strCache>
                <c:ptCount val="6"/>
                <c:pt idx="0">
                  <c:v>FY2022A</c:v>
                </c:pt>
                <c:pt idx="1">
                  <c:v>FY2023A</c:v>
                </c:pt>
                <c:pt idx="2">
                  <c:v>FY2024E</c:v>
                </c:pt>
                <c:pt idx="3">
                  <c:v>FY2025E</c:v>
                </c:pt>
                <c:pt idx="4">
                  <c:v>FY2026E</c:v>
                </c:pt>
                <c:pt idx="5">
                  <c:v>FY2027E</c:v>
                </c:pt>
              </c:strCache>
            </c:strRef>
          </c:cat>
          <c:val>
            <c:numRef>
              <c:f>Charts!$E$17:$J$17</c:f>
              <c:numCache>
                <c:formatCode>#,##0_);\(#,##0\)</c:formatCode>
                <c:ptCount val="6"/>
                <c:pt idx="0">
                  <c:v>157403</c:v>
                </c:pt>
                <c:pt idx="1">
                  <c:v>152669</c:v>
                </c:pt>
                <c:pt idx="2">
                  <c:v>155149.79776541301</c:v>
                </c:pt>
                <c:pt idx="3">
                  <c:v>157670.90730042479</c:v>
                </c:pt>
                <c:pt idx="4">
                  <c:v>160232.98365188797</c:v>
                </c:pt>
                <c:pt idx="5">
                  <c:v>162836.69251085122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1-4158-9F64-C439BBC113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52132207"/>
        <c:axId val="671743375"/>
      </c:barChart>
      <c:catAx>
        <c:axId val="115213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1743375"/>
        <c:crosses val="autoZero"/>
        <c:auto val="1"/>
        <c:lblAlgn val="ctr"/>
        <c:lblOffset val="100"/>
        <c:noMultiLvlLbl val="0"/>
      </c:catAx>
      <c:valAx>
        <c:axId val="671743375"/>
        <c:scaling>
          <c:orientation val="minMax"/>
        </c:scaling>
        <c:delete val="1"/>
        <c:axPos val="l"/>
        <c:numFmt formatCode="#,##0_);\(#,##0\)" sourceLinked="1"/>
        <c:majorTickMark val="none"/>
        <c:minorTickMark val="none"/>
        <c:tickLblPos val="nextTo"/>
        <c:crossAx val="115213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1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EBITDA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8827073331450625E-3"/>
                  <c:y val="-4.02111030137746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BF-454F-AAB6-372A1925810C}"/>
                </c:ext>
              </c:extLst>
            </c:dLbl>
            <c:dLbl>
              <c:idx val="1"/>
              <c:layout>
                <c:manualLayout>
                  <c:x val="5.6481219994351534E-3"/>
                  <c:y val="-4.6912953516070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BF-454F-AAB6-372A1925810C}"/>
                </c:ext>
              </c:extLst>
            </c:dLbl>
            <c:dLbl>
              <c:idx val="2"/>
              <c:layout>
                <c:manualLayout>
                  <c:x val="9.4135366657253135E-3"/>
                  <c:y val="-5.696572926951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BF-454F-AAB6-372A1925810C}"/>
                </c:ext>
              </c:extLst>
            </c:dLbl>
            <c:dLbl>
              <c:idx val="3"/>
              <c:layout>
                <c:manualLayout>
                  <c:x val="7.53082933258025E-3"/>
                  <c:y val="-4.02111030137746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BF-454F-AAB6-372A1925810C}"/>
                </c:ext>
              </c:extLst>
            </c:dLbl>
            <c:dLbl>
              <c:idx val="4"/>
              <c:layout>
                <c:manualLayout>
                  <c:x val="1.6944365998305563E-2"/>
                  <c:y val="-4.02111030137746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BF-454F-AAB6-372A19258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Charts!$E$21:$I$21</c:f>
              <c:strCache>
                <c:ptCount val="5"/>
                <c:pt idx="0">
                  <c:v>FY2022A</c:v>
                </c:pt>
                <c:pt idx="1">
                  <c:v>FY2023A</c:v>
                </c:pt>
                <c:pt idx="2">
                  <c:v>FY2024E</c:v>
                </c:pt>
                <c:pt idx="3">
                  <c:v>FY2025E</c:v>
                </c:pt>
                <c:pt idx="4">
                  <c:v>FY2026E</c:v>
                </c:pt>
              </c:strCache>
            </c:strRef>
          </c:cat>
          <c:val>
            <c:numRef>
              <c:f>Charts!$E$22:$I$22</c:f>
              <c:numCache>
                <c:formatCode>#,##0_);\(#,##0\)</c:formatCode>
                <c:ptCount val="5"/>
                <c:pt idx="0">
                  <c:v>26494</c:v>
                </c:pt>
                <c:pt idx="1">
                  <c:v>24362</c:v>
                </c:pt>
                <c:pt idx="2">
                  <c:v>24581.388748549842</c:v>
                </c:pt>
                <c:pt idx="3">
                  <c:v>25160.008850306345</c:v>
                </c:pt>
                <c:pt idx="4">
                  <c:v>25851.227657452961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F-454F-AAB6-372A192581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85656640"/>
        <c:axId val="1885655680"/>
        <c:axId val="0"/>
      </c:bar3DChart>
      <c:catAx>
        <c:axId val="188565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5655680"/>
        <c:crosses val="autoZero"/>
        <c:auto val="1"/>
        <c:lblAlgn val="ctr"/>
        <c:lblOffset val="100"/>
        <c:noMultiLvlLbl val="0"/>
      </c:catAx>
      <c:valAx>
        <c:axId val="1885655680"/>
        <c:scaling>
          <c:orientation val="minMax"/>
        </c:scaling>
        <c:delete val="1"/>
        <c:axPos val="l"/>
        <c:numFmt formatCode="#,##0_);\(#,##0\)" sourceLinked="1"/>
        <c:majorTickMark val="none"/>
        <c:minorTickMark val="none"/>
        <c:tickLblPos val="nextTo"/>
        <c:crossAx val="188565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CA" sz="1200" b="1"/>
              <a:t>Revenue vs COGS vs Net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Revenue</c:v>
          </c:tx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Charts!$E$10:$I$10</c:f>
              <c:strCache>
                <c:ptCount val="5"/>
                <c:pt idx="0">
                  <c:v>FY2022A</c:v>
                </c:pt>
                <c:pt idx="1">
                  <c:v>FY2023A</c:v>
                </c:pt>
                <c:pt idx="2">
                  <c:v>FY2024E</c:v>
                </c:pt>
                <c:pt idx="3">
                  <c:v>FY2025E</c:v>
                </c:pt>
                <c:pt idx="4">
                  <c:v>FY2026E</c:v>
                </c:pt>
              </c:strCache>
            </c:strRef>
          </c:cat>
          <c:val>
            <c:numRef>
              <c:f>Charts!$E$11:$I$11</c:f>
              <c:numCache>
                <c:formatCode>#,##0_);\(#,##0\)</c:formatCode>
                <c:ptCount val="5"/>
                <c:pt idx="0">
                  <c:v>157403</c:v>
                </c:pt>
                <c:pt idx="1">
                  <c:v>152669</c:v>
                </c:pt>
                <c:pt idx="2">
                  <c:v>152669</c:v>
                </c:pt>
                <c:pt idx="3">
                  <c:v>152669</c:v>
                </c:pt>
                <c:pt idx="4">
                  <c:v>152669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C-46A4-8E54-C4765F8EC057}"/>
            </c:ext>
          </c:extLst>
        </c:ser>
        <c:ser>
          <c:idx val="1"/>
          <c:order val="1"/>
          <c:tx>
            <c:v>COGS</c:v>
          </c:tx>
          <c:spPr>
            <a:solidFill>
              <a:srgbClr val="ACB9CA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Charts!$E$10:$I$10</c:f>
              <c:strCache>
                <c:ptCount val="5"/>
                <c:pt idx="0">
                  <c:v>FY2022A</c:v>
                </c:pt>
                <c:pt idx="1">
                  <c:v>FY2023A</c:v>
                </c:pt>
                <c:pt idx="2">
                  <c:v>FY2024E</c:v>
                </c:pt>
                <c:pt idx="3">
                  <c:v>FY2025E</c:v>
                </c:pt>
                <c:pt idx="4">
                  <c:v>FY2026E</c:v>
                </c:pt>
              </c:strCache>
            </c:strRef>
          </c:cat>
          <c:val>
            <c:numRef>
              <c:f>Charts!$E$12:$I$12</c:f>
              <c:numCache>
                <c:formatCode>#,##0_);\(#,##0\)</c:formatCode>
                <c:ptCount val="5"/>
                <c:pt idx="0">
                  <c:v>104625</c:v>
                </c:pt>
                <c:pt idx="1">
                  <c:v>101709</c:v>
                </c:pt>
                <c:pt idx="2">
                  <c:v>102848.52523000001</c:v>
                </c:pt>
                <c:pt idx="3">
                  <c:v>106092.8025476</c:v>
                </c:pt>
                <c:pt idx="4">
                  <c:v>109864.17932798222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2C-46A4-8E54-C4765F8EC057}"/>
            </c:ext>
          </c:extLst>
        </c:ser>
        <c:ser>
          <c:idx val="2"/>
          <c:order val="2"/>
          <c:tx>
            <c:v>Net Income</c:v>
          </c:tx>
          <c:spPr>
            <a:solidFill>
              <a:srgbClr val="FFC0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Charts!$E$10:$I$10</c:f>
              <c:strCache>
                <c:ptCount val="5"/>
                <c:pt idx="0">
                  <c:v>FY2022A</c:v>
                </c:pt>
                <c:pt idx="1">
                  <c:v>FY2023A</c:v>
                </c:pt>
                <c:pt idx="2">
                  <c:v>FY2024E</c:v>
                </c:pt>
                <c:pt idx="3">
                  <c:v>FY2025E</c:v>
                </c:pt>
                <c:pt idx="4">
                  <c:v>FY2026E</c:v>
                </c:pt>
              </c:strCache>
            </c:strRef>
          </c:cat>
          <c:val>
            <c:numRef>
              <c:f>Charts!$E$13:$I$13</c:f>
              <c:numCache>
                <c:formatCode>#,##0_);\(#,##0\)</c:formatCode>
                <c:ptCount val="5"/>
                <c:pt idx="0">
                  <c:v>17105</c:v>
                </c:pt>
                <c:pt idx="1">
                  <c:v>15143</c:v>
                </c:pt>
                <c:pt idx="2">
                  <c:v>15201.470448310798</c:v>
                </c:pt>
                <c:pt idx="3">
                  <c:v>15671.390138310895</c:v>
                </c:pt>
                <c:pt idx="4">
                  <c:v>16229.596096873931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2C-46A4-8E54-C4765F8EC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5707183"/>
        <c:axId val="385709583"/>
        <c:axId val="0"/>
      </c:bar3DChart>
      <c:catAx>
        <c:axId val="38570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85709583"/>
        <c:crosses val="autoZero"/>
        <c:auto val="1"/>
        <c:lblAlgn val="ctr"/>
        <c:lblOffset val="100"/>
        <c:noMultiLvlLbl val="0"/>
      </c:catAx>
      <c:valAx>
        <c:axId val="385709583"/>
        <c:scaling>
          <c:orientation val="minMax"/>
        </c:scaling>
        <c:delete val="1"/>
        <c:axPos val="l"/>
        <c:numFmt formatCode="#,##0_);\(#,##0\)" sourceLinked="1"/>
        <c:majorTickMark val="none"/>
        <c:minorTickMark val="none"/>
        <c:tickLblPos val="nextTo"/>
        <c:crossAx val="38570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3093720</xdr:colOff>
      <xdr:row>0</xdr:row>
      <xdr:rowOff>137160</xdr:rowOff>
    </xdr:from>
    <xdr:to>
      <xdr:col>1</xdr:col>
      <xdr:colOff>3560753</xdr:colOff>
      <xdr:row>3</xdr:row>
      <xdr:rowOff>58366</xdr:rowOff>
    </xdr:to>
    <xdr:pic>
      <xdr:nvPicPr>
        <xdr:cNvPr id="3" name="Picture 2" descr="The Home Depot Logo &amp; Brand Assets (SVG ...">
          <a:extLst>
            <a:ext uri="{FF2B5EF4-FFF2-40B4-BE49-F238E27FC236}">
              <a16:creationId xmlns:a16="http://schemas.microsoft.com/office/drawing/2014/main" id="{3E153B44-E8CD-4054-B49A-FC9A17CD9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5180" y="137160"/>
          <a:ext cx="482273" cy="538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2887980</xdr:colOff>
      <xdr:row>0</xdr:row>
      <xdr:rowOff>251460</xdr:rowOff>
    </xdr:from>
    <xdr:to>
      <xdr:col>1</xdr:col>
      <xdr:colOff>3370253</xdr:colOff>
      <xdr:row>4</xdr:row>
      <xdr:rowOff>111706</xdr:rowOff>
    </xdr:to>
    <xdr:pic>
      <xdr:nvPicPr>
        <xdr:cNvPr id="3" name="Picture 2" descr="The Home Depot Logo &amp; Brand Assets (SVG ...">
          <a:extLst>
            <a:ext uri="{FF2B5EF4-FFF2-40B4-BE49-F238E27FC236}">
              <a16:creationId xmlns:a16="http://schemas.microsoft.com/office/drawing/2014/main" id="{4B18C8A0-7F31-452C-BA9F-5448F36EF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7580" y="251460"/>
          <a:ext cx="486083" cy="538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2535555</xdr:colOff>
      <xdr:row>0</xdr:row>
      <xdr:rowOff>102704</xdr:rowOff>
    </xdr:from>
    <xdr:to>
      <xdr:col>1</xdr:col>
      <xdr:colOff>3012113</xdr:colOff>
      <xdr:row>3</xdr:row>
      <xdr:rowOff>60934</xdr:rowOff>
    </xdr:to>
    <xdr:pic>
      <xdr:nvPicPr>
        <xdr:cNvPr id="2" name="Picture 1" descr="The Home Depot Logo &amp; Brand Assets (SVG ...">
          <a:extLst>
            <a:ext uri="{FF2B5EF4-FFF2-40B4-BE49-F238E27FC236}">
              <a16:creationId xmlns:a16="http://schemas.microsoft.com/office/drawing/2014/main" id="{59CD6A02-221B-488E-8C93-B384E3C31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7590" y="102704"/>
          <a:ext cx="476558" cy="513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2771775</xdr:colOff>
      <xdr:row>0</xdr:row>
      <xdr:rowOff>209550</xdr:rowOff>
    </xdr:from>
    <xdr:to>
      <xdr:col>1</xdr:col>
      <xdr:colOff>3254048</xdr:colOff>
      <xdr:row>3</xdr:row>
      <xdr:rowOff>115516</xdr:rowOff>
    </xdr:to>
    <xdr:pic>
      <xdr:nvPicPr>
        <xdr:cNvPr id="3" name="Picture 2" descr="The Home Depot Logo &amp; Brand Assets (SVG ...">
          <a:extLst>
            <a:ext uri="{FF2B5EF4-FFF2-40B4-BE49-F238E27FC236}">
              <a16:creationId xmlns:a16="http://schemas.microsoft.com/office/drawing/2014/main" id="{17902549-4BEE-45F4-AC1D-2F4F463D0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5" y="209550"/>
          <a:ext cx="472748" cy="534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2799936</xdr:colOff>
      <xdr:row>2</xdr:row>
      <xdr:rowOff>54085</xdr:rowOff>
    </xdr:from>
    <xdr:to>
      <xdr:col>1</xdr:col>
      <xdr:colOff>3280304</xdr:colOff>
      <xdr:row>5</xdr:row>
      <xdr:rowOff>34346</xdr:rowOff>
    </xdr:to>
    <xdr:pic>
      <xdr:nvPicPr>
        <xdr:cNvPr id="2" name="Picture 1" descr="The Home Depot Logo &amp; Brand Assets (SVG ...">
          <a:extLst>
            <a:ext uri="{FF2B5EF4-FFF2-40B4-BE49-F238E27FC236}">
              <a16:creationId xmlns:a16="http://schemas.microsoft.com/office/drawing/2014/main" id="{1B845E67-406B-D5ED-6706-783D52E10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436" y="194889"/>
          <a:ext cx="480368" cy="525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2674620</xdr:colOff>
      <xdr:row>0</xdr:row>
      <xdr:rowOff>121920</xdr:rowOff>
    </xdr:from>
    <xdr:to>
      <xdr:col>1</xdr:col>
      <xdr:colOff>3160703</xdr:colOff>
      <xdr:row>3</xdr:row>
      <xdr:rowOff>95389</xdr:rowOff>
    </xdr:to>
    <xdr:pic>
      <xdr:nvPicPr>
        <xdr:cNvPr id="3" name="Picture 2" descr="The Home Depot Logo &amp; Brand Assets (SVG ...">
          <a:extLst>
            <a:ext uri="{FF2B5EF4-FFF2-40B4-BE49-F238E27FC236}">
              <a16:creationId xmlns:a16="http://schemas.microsoft.com/office/drawing/2014/main" id="{29462203-9252-4E0A-A850-F0C4B186D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4180" y="121920"/>
          <a:ext cx="486083" cy="541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2628900</xdr:colOff>
      <xdr:row>0</xdr:row>
      <xdr:rowOff>76200</xdr:rowOff>
    </xdr:from>
    <xdr:to>
      <xdr:col>1</xdr:col>
      <xdr:colOff>3124508</xdr:colOff>
      <xdr:row>3</xdr:row>
      <xdr:rowOff>15939</xdr:rowOff>
    </xdr:to>
    <xdr:pic>
      <xdr:nvPicPr>
        <xdr:cNvPr id="3" name="Picture 2" descr="The Home Depot Logo &amp; Brand Assets (SVG ...">
          <a:extLst>
            <a:ext uri="{FF2B5EF4-FFF2-40B4-BE49-F238E27FC236}">
              <a16:creationId xmlns:a16="http://schemas.microsoft.com/office/drawing/2014/main" id="{F6DF16E2-5B1A-4C8C-82ED-E616F6179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76200"/>
          <a:ext cx="495608" cy="516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2520315</xdr:colOff>
      <xdr:row>0</xdr:row>
      <xdr:rowOff>85725</xdr:rowOff>
    </xdr:from>
    <xdr:to>
      <xdr:col>3</xdr:col>
      <xdr:colOff>434648</xdr:colOff>
      <xdr:row>3</xdr:row>
      <xdr:rowOff>92656</xdr:rowOff>
    </xdr:to>
    <xdr:pic>
      <xdr:nvPicPr>
        <xdr:cNvPr id="3" name="Picture 2" descr="The Home Depot Logo &amp; Brand Assets (SVG ...">
          <a:extLst>
            <a:ext uri="{FF2B5EF4-FFF2-40B4-BE49-F238E27FC236}">
              <a16:creationId xmlns:a16="http://schemas.microsoft.com/office/drawing/2014/main" id="{A5E48FDD-4B17-4205-90A5-4C68E73EB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0340" y="85725"/>
          <a:ext cx="491798" cy="565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2633870</xdr:colOff>
      <xdr:row>0</xdr:row>
      <xdr:rowOff>107674</xdr:rowOff>
    </xdr:from>
    <xdr:to>
      <xdr:col>1</xdr:col>
      <xdr:colOff>3087568</xdr:colOff>
      <xdr:row>3</xdr:row>
      <xdr:rowOff>58698</xdr:rowOff>
    </xdr:to>
    <xdr:pic>
      <xdr:nvPicPr>
        <xdr:cNvPr id="3" name="Picture 2" descr="The Home Depot Logo &amp; Brand Assets (SVG ...">
          <a:extLst>
            <a:ext uri="{FF2B5EF4-FFF2-40B4-BE49-F238E27FC236}">
              <a16:creationId xmlns:a16="http://schemas.microsoft.com/office/drawing/2014/main" id="{3E02BDD5-FCBE-4CC9-B96F-0F41FFD4A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0935" y="107674"/>
          <a:ext cx="453698" cy="529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379096</xdr:colOff>
      <xdr:row>25</xdr:row>
      <xdr:rowOff>102870</xdr:rowOff>
    </xdr:from>
    <xdr:to>
      <xdr:col>24</xdr:col>
      <xdr:colOff>207645</xdr:colOff>
      <xdr:row>45</xdr:row>
      <xdr:rowOff>81915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09C030F-A14E-104E-64DF-1D6DC9616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165733</xdr:colOff>
      <xdr:row>25</xdr:row>
      <xdr:rowOff>101915</xdr:rowOff>
    </xdr:from>
    <xdr:to>
      <xdr:col>13</xdr:col>
      <xdr:colOff>95250</xdr:colOff>
      <xdr:row>45</xdr:row>
      <xdr:rowOff>47624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83E82E-7991-9DFC-74A7-4BA0A83D9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354329</xdr:colOff>
      <xdr:row>46</xdr:row>
      <xdr:rowOff>116205</xdr:rowOff>
    </xdr:from>
    <xdr:to>
      <xdr:col>24</xdr:col>
      <xdr:colOff>160020</xdr:colOff>
      <xdr:row>68</xdr:row>
      <xdr:rowOff>127634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DCA117-A18A-B374-BCAF-39DDF415A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181928</xdr:colOff>
      <xdr:row>46</xdr:row>
      <xdr:rowOff>79058</xdr:rowOff>
    </xdr:from>
    <xdr:to>
      <xdr:col>13</xdr:col>
      <xdr:colOff>95250</xdr:colOff>
      <xdr:row>68</xdr:row>
      <xdr:rowOff>104775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4A1F803-1A65-4377-758C-B6E5B103E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2607945</xdr:colOff>
      <xdr:row>1</xdr:row>
      <xdr:rowOff>51435</xdr:rowOff>
    </xdr:from>
    <xdr:to>
      <xdr:col>1</xdr:col>
      <xdr:colOff>3103553</xdr:colOff>
      <xdr:row>3</xdr:row>
      <xdr:rowOff>120154</xdr:rowOff>
    </xdr:to>
    <xdr:pic>
      <xdr:nvPicPr>
        <xdr:cNvPr id="22" name="Picture 21" descr="The Home Depot Logo &amp; Brand Assets (SVG ...">
          <a:extLst>
            <a:ext uri="{FF2B5EF4-FFF2-40B4-BE49-F238E27FC236}">
              <a16:creationId xmlns:a16="http://schemas.microsoft.com/office/drawing/2014/main" id="{961A2F6D-23DD-49B8-A42D-AEBA33D60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9885" y="234315"/>
          <a:ext cx="495608" cy="518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arrison Doan" id="{A9C5E80B-CE7E-4A5E-9940-EDE5B1C51070}" userId="7f4f7b5c9908051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1" dT="2025-01-04T23:53:08.34" personId="{A9C5E80B-CE7E-4A5E-9940-EDE5B1C51070}" id="{6154F610-220B-4A53-864F-482D388BE7E2}">
    <text>Added Changes in Other Current Assets from CFS to line item</text>
  </threadedComment>
  <threadedComment ref="G41" dT="2025-01-04T23:56:45.69" personId="{A9C5E80B-CE7E-4A5E-9940-EDE5B1C51070}" id="{3518776F-710E-4832-8C86-7DDC99D4038F}" parentId="{6154F610-220B-4A53-864F-482D388BE7E2}">
    <text>Also added Proceeds from Sale of Common Stock</text>
  </threadedComment>
  <threadedComment ref="G55" dT="2025-01-04T23:51:04.37" personId="{A9C5E80B-CE7E-4A5E-9940-EDE5B1C51070}" id="{0C33D9BE-354B-492B-9B75-917F144D061A}">
    <text>Added SBC expense from CFS to line item</text>
  </threadedComment>
  <threadedComment ref="G65" dT="2025-01-04T23:54:31.66" personId="{A9C5E80B-CE7E-4A5E-9940-EDE5B1C51070}" id="{DD292B1C-4585-4E71-B7A9-D7E79E558140}">
    <text>Added Repayments of LT Debt from CFS to line item</text>
  </threadedComment>
  <threadedComment ref="G76" dT="2025-01-04T23:51:58.52" personId="{A9C5E80B-CE7E-4A5E-9940-EDE5B1C51070}" id="{872B0A54-09DB-4232-A9F2-9E6A63E421B5}">
    <text>Added Impairment Loss to from CFS to line item</text>
  </threadedComment>
  <threadedComment ref="G76" dT="2025-01-04T23:57:46.97" personId="{A9C5E80B-CE7E-4A5E-9940-EDE5B1C51070}" id="{B6A7372D-880D-47A2-AC9D-CECBD694EAE7}" parentId="{872B0A54-09DB-4232-A9F2-9E6A63E421B5}">
    <text>Also added Other Financing Activities</text>
  </threadedComment>
  <threadedComment ref="G141" dT="2025-01-04T00:10:25.91" personId="{A9C5E80B-CE7E-4A5E-9940-EDE5B1C51070}" id="{1B9D281E-25F7-4771-AE49-024643704A14}">
    <text>Combined Net PP&amp;E and ROU assets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0" dT="2025-01-15T01:07:11.11" personId="{A9C5E80B-CE7E-4A5E-9940-EDE5B1C51070}" id="{C4508558-B216-490A-9748-3D3C64E2E553}">
    <text>Include employee stock options</text>
  </threadedComment>
  <threadedComment ref="J10" dT="2025-01-15T00:31:20.09" personId="{A9C5E80B-CE7E-4A5E-9940-EDE5B1C51070}" id="{7C64B6DD-77FD-4EC3-A70E-0589F8F806E6}">
    <text>Supposed to be “Fair Value” from company’s financials</text>
  </threadedComment>
  <threadedComment ref="J10" dT="2025-01-15T00:35:29.58" personId="{A9C5E80B-CE7E-4A5E-9940-EDE5B1C51070}" id="{4678C3ED-4329-491E-ACF2-8D5AE021D342}" parentId="{7C64B6DD-77FD-4EC3-A70E-0589F8F806E6}">
    <text>Also need to add “Finance Lease” values</text>
  </threadedComment>
  <threadedComment ref="L10" dT="2025-01-15T00:29:41.54" personId="{A9C5E80B-CE7E-4A5E-9940-EDE5B1C51070}" id="{7C08F114-F49D-4848-AE64-9DD298E02BC7}">
    <text>Could include “Unfunded Pension Liabilities”</text>
  </threadedComment>
  <threadedComment ref="N10" dT="2025-01-15T01:41:43.47" personId="{A9C5E80B-CE7E-4A5E-9940-EDE5B1C51070}" id="{25E79448-495F-473B-AFF5-19B596BFDD65}">
    <text xml:space="preserve">Pull from data resources (best is CapIQ/BB) - I just used Yahoo Finance 
</text>
  </threadedComment>
  <threadedComment ref="O10" dT="2025-01-15T01:19:31.17" personId="{A9C5E80B-CE7E-4A5E-9940-EDE5B1C51070}" id="{9EB1B7EA-7CCD-4789-A9AD-EBDB4B5B50C3}">
    <text xml:space="preserve">Pull from data resources (best is CapIQ/BB) - I just used Yahoo Finance </text>
  </threadedComment>
  <threadedComment ref="P10" dT="2025-01-15T01:19:37.40" personId="{A9C5E80B-CE7E-4A5E-9940-EDE5B1C51070}" id="{14C8024C-F655-4A4D-A97A-D791F0DB0C0F}">
    <text xml:space="preserve">Pull from data resources (best is CapIQ/BB) - I just used Yahoo Finance 
</text>
  </threadedComment>
  <threadedComment ref="R10" dT="2025-01-15T01:19:45.24" personId="{A9C5E80B-CE7E-4A5E-9940-EDE5B1C51070}" id="{D0C556D7-15D4-4D7F-81B4-BCA407D8305A}">
    <text xml:space="preserve">Pull from data resources (best is CapIQ/BB) - I just used Yahoo Finance 
</text>
  </threadedComment>
  <threadedComment ref="S10" dT="2025-01-15T01:19:49.70" personId="{A9C5E80B-CE7E-4A5E-9940-EDE5B1C51070}" id="{29445F27-DBA6-4734-A8BF-10BC7482CAFF}">
    <text xml:space="preserve">Pull from data resources (best is CapIQ/BB) - I just used Yahoo Finance 
</text>
  </threadedComment>
  <threadedComment ref="U10" dT="2025-01-15T01:19:54.99" personId="{A9C5E80B-CE7E-4A5E-9940-EDE5B1C51070}" id="{0D098C8B-D56D-444A-AD69-FAB10D5797B4}">
    <text xml:space="preserve">Pull from data resources (best is CapIQ/BB) - I just used Yahoo Finance 
</text>
  </threadedComment>
  <threadedComment ref="V10" dT="2025-01-15T01:19:58.77" personId="{A9C5E80B-CE7E-4A5E-9940-EDE5B1C51070}" id="{57DE1874-DF3F-4FAE-BC9C-F46E86426E03}">
    <text xml:space="preserve">Pull from data resources (best is CapIQ/BB) - I just used Yahoo Finance 
</text>
  </threadedComment>
  <threadedComment ref="I11" dT="2025-01-15T00:12:10.48" personId="{A9C5E80B-CE7E-4A5E-9940-EDE5B1C51070}" id="{537E9DA8-0A48-4B81-AB68-CB31578BB4B3}">
    <text>From most recent 10Q</text>
  </threadedComment>
  <threadedComment ref="K11" dT="2025-01-15T00:27:49.71" personId="{A9C5E80B-CE7E-4A5E-9940-EDE5B1C51070}" id="{9CF6BADE-4EFA-4378-AFE2-768939CCB1BA}">
    <text>From most recent 10Q</text>
  </threadedComment>
  <threadedComment ref="L11" dT="2025-01-15T00:27:57.24" personId="{A9C5E80B-CE7E-4A5E-9940-EDE5B1C51070}" id="{C8BBBFA9-8ABB-40C1-B8E1-0304BA3E8172}">
    <text>From most recent 10Q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94B7-FB7F-4F8C-A3C8-3DB24BCBF870}">
  <dimension ref="B1:O27"/>
  <sheetViews>
    <sheetView showGridLines="0" zoomScale="115" zoomScaleNormal="11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3" sqref="D13"/>
    </sheetView>
  </sheetViews>
  <sheetFormatPr defaultRowHeight="15" x14ac:dyDescent="0.25"/>
  <cols>
    <col min="1" max="1" width="2.7109375" customWidth="1"/>
    <col min="2" max="2" width="65.42578125" customWidth="1"/>
    <col min="15" max="15" width="21.85546875" bestFit="1" customWidth="1"/>
  </cols>
  <sheetData>
    <row r="1" spans="2:15" ht="20.25" x14ac:dyDescent="0.3">
      <c r="B1" s="14" t="s">
        <v>0</v>
      </c>
    </row>
    <row r="2" spans="2:15" x14ac:dyDescent="0.25">
      <c r="B2" s="1" t="s">
        <v>245</v>
      </c>
    </row>
    <row r="3" spans="2:15" x14ac:dyDescent="0.25">
      <c r="B3" s="3"/>
    </row>
    <row r="4" spans="2:15" x14ac:dyDescent="0.25">
      <c r="B4" s="2"/>
    </row>
    <row r="5" spans="2:15" x14ac:dyDescent="0.25">
      <c r="B5" s="2" t="s">
        <v>3</v>
      </c>
      <c r="C5" s="4">
        <f>DATE(2021,1,31)</f>
        <v>44227</v>
      </c>
      <c r="D5" s="4">
        <f>DATE(2022,1,30)</f>
        <v>44591</v>
      </c>
      <c r="E5" s="4">
        <f>DATE(2022,1,29)</f>
        <v>44590</v>
      </c>
      <c r="F5" s="4">
        <f>DATE(2024,1,28)</f>
        <v>45319</v>
      </c>
      <c r="G5" s="4"/>
      <c r="H5" s="4"/>
      <c r="I5" s="4"/>
      <c r="J5" s="4"/>
      <c r="K5" s="4"/>
      <c r="L5" s="4"/>
      <c r="M5" s="4"/>
    </row>
    <row r="6" spans="2:15" x14ac:dyDescent="0.25">
      <c r="B6" s="2" t="s">
        <v>63</v>
      </c>
      <c r="C6" s="30" t="s">
        <v>158</v>
      </c>
      <c r="D6" s="15" t="s">
        <v>159</v>
      </c>
      <c r="E6" s="15" t="s">
        <v>160</v>
      </c>
      <c r="F6" s="15" t="s">
        <v>334</v>
      </c>
      <c r="G6" s="15" t="s">
        <v>33</v>
      </c>
      <c r="H6" s="15" t="s">
        <v>38</v>
      </c>
      <c r="I6" s="15" t="s">
        <v>39</v>
      </c>
      <c r="J6" s="15" t="s">
        <v>40</v>
      </c>
      <c r="K6" s="15" t="s">
        <v>41</v>
      </c>
      <c r="L6" s="15" t="s">
        <v>42</v>
      </c>
      <c r="M6" s="15" t="s">
        <v>333</v>
      </c>
    </row>
    <row r="9" spans="2:15" x14ac:dyDescent="0.25">
      <c r="C9" s="149" t="s">
        <v>154</v>
      </c>
      <c r="D9" s="149"/>
      <c r="E9" s="149"/>
      <c r="F9" s="149"/>
      <c r="G9" s="149" t="s">
        <v>155</v>
      </c>
      <c r="H9" s="149"/>
      <c r="I9" s="149"/>
      <c r="J9" s="149"/>
      <c r="K9" s="149"/>
      <c r="L9" s="149"/>
      <c r="M9" s="149"/>
    </row>
    <row r="10" spans="2:15" x14ac:dyDescent="0.25">
      <c r="B10" s="5" t="s">
        <v>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2:15" x14ac:dyDescent="0.25">
      <c r="B11" s="16" t="s">
        <v>43</v>
      </c>
      <c r="C11" s="17">
        <v>132110</v>
      </c>
      <c r="D11" s="17">
        <v>151157</v>
      </c>
      <c r="E11" s="17">
        <v>157403</v>
      </c>
      <c r="F11" s="17">
        <v>152669</v>
      </c>
      <c r="G11" s="18">
        <f>'Annual Model'!G10</f>
        <v>154195.69</v>
      </c>
      <c r="H11" s="18">
        <f>'Annual Model'!H10</f>
        <v>158821.5607</v>
      </c>
      <c r="I11" s="18">
        <f>'Annual Model'!I10</f>
        <v>165174.42312799999</v>
      </c>
      <c r="J11" s="18">
        <f>'Annual Model'!J10</f>
        <v>172276.92332250398</v>
      </c>
      <c r="K11" s="18">
        <f>'Annual Model'!K10</f>
        <v>179168.00025540416</v>
      </c>
      <c r="L11" s="18">
        <f>'Annual Model'!L10</f>
        <v>185886.80026498184</v>
      </c>
      <c r="M11" s="18">
        <f>'Annual Model'!M10</f>
        <v>192392.83827425618</v>
      </c>
    </row>
    <row r="12" spans="2:15" x14ac:dyDescent="0.25">
      <c r="B12" s="80" t="s">
        <v>247</v>
      </c>
      <c r="D12" s="12">
        <f>D11/C11-1</f>
        <v>0.14417530845507542</v>
      </c>
      <c r="E12" s="12">
        <f t="shared" ref="E12:M12" si="0">E11/D11-1</f>
        <v>4.1321275230389531E-2</v>
      </c>
      <c r="F12" s="12">
        <f t="shared" si="0"/>
        <v>-3.0075665648049865E-2</v>
      </c>
      <c r="G12" s="12">
        <f t="shared" si="0"/>
        <v>1.0000000000000009E-2</v>
      </c>
      <c r="H12" s="12">
        <f t="shared" si="0"/>
        <v>3.0000000000000027E-2</v>
      </c>
      <c r="I12" s="12">
        <f t="shared" si="0"/>
        <v>4.0000000000000036E-2</v>
      </c>
      <c r="J12" s="12">
        <f t="shared" si="0"/>
        <v>4.2999999999999927E-2</v>
      </c>
      <c r="K12" s="12">
        <f t="shared" si="0"/>
        <v>4.0000000000000036E-2</v>
      </c>
      <c r="L12" s="12">
        <f t="shared" si="0"/>
        <v>3.7500000000000089E-2</v>
      </c>
      <c r="M12" s="12">
        <f t="shared" si="0"/>
        <v>3.499999999999992E-2</v>
      </c>
    </row>
    <row r="13" spans="2:15" x14ac:dyDescent="0.25">
      <c r="B13" s="16" t="s">
        <v>258</v>
      </c>
      <c r="C13" s="17">
        <f>'Annual Model'!C11</f>
        <v>87257</v>
      </c>
      <c r="D13" s="17">
        <f>'Annual Model'!D11</f>
        <v>100325</v>
      </c>
      <c r="E13" s="17">
        <f>'Annual Model'!E11</f>
        <v>104625</v>
      </c>
      <c r="F13" s="17">
        <f>'Annual Model'!F11</f>
        <v>101709</v>
      </c>
      <c r="G13" s="18">
        <f>'Annual Model'!G11</f>
        <v>102848.52523000001</v>
      </c>
      <c r="H13" s="18">
        <f>'Annual Model'!H11</f>
        <v>106092.8025476</v>
      </c>
      <c r="I13" s="18">
        <f>'Annual Model'!I11</f>
        <v>110501.689072632</v>
      </c>
      <c r="J13" s="18">
        <f>'Annual Model'!J11</f>
        <v>115425.53862607767</v>
      </c>
      <c r="K13" s="18">
        <f>'Annual Model'!K11</f>
        <v>120221.72817137619</v>
      </c>
      <c r="L13" s="18">
        <f>'Annual Model'!L11</f>
        <v>124915.9297780678</v>
      </c>
      <c r="M13" s="18">
        <f>'Annual Model'!M11</f>
        <v>129480.38015857442</v>
      </c>
    </row>
    <row r="14" spans="2:15" x14ac:dyDescent="0.25">
      <c r="B14" s="80" t="s">
        <v>148</v>
      </c>
      <c r="D14" s="12">
        <f>D13/D11</f>
        <v>0.66371388688582067</v>
      </c>
      <c r="E14" s="12">
        <f t="shared" ref="E14:M14" si="1">E13/E11</f>
        <v>0.66469508205053274</v>
      </c>
      <c r="F14" s="12">
        <f t="shared" si="1"/>
        <v>0.66620597501784906</v>
      </c>
      <c r="G14" s="12">
        <f t="shared" si="1"/>
        <v>0.66700000000000004</v>
      </c>
      <c r="H14" s="12">
        <f t="shared" si="1"/>
        <v>0.66800000000000004</v>
      </c>
      <c r="I14" s="12">
        <f t="shared" si="1"/>
        <v>0.66900000000000004</v>
      </c>
      <c r="J14" s="12">
        <f t="shared" si="1"/>
        <v>0.67</v>
      </c>
      <c r="K14" s="12">
        <f t="shared" si="1"/>
        <v>0.67100000000000004</v>
      </c>
      <c r="L14" s="12">
        <f t="shared" si="1"/>
        <v>0.67200000000000004</v>
      </c>
      <c r="M14" s="12">
        <f t="shared" si="1"/>
        <v>0.67300000000000004</v>
      </c>
    </row>
    <row r="15" spans="2:15" x14ac:dyDescent="0.25">
      <c r="B15" s="80" t="s">
        <v>268</v>
      </c>
      <c r="D15" s="12"/>
      <c r="E15" s="12"/>
      <c r="F15" s="12"/>
      <c r="G15" s="12">
        <f>G14/F14-1</f>
        <v>1.1918610939052332E-3</v>
      </c>
      <c r="H15" s="12">
        <f t="shared" ref="H15:M15" si="2">H14/G14-1</f>
        <v>1.4992503748125774E-3</v>
      </c>
      <c r="I15" s="12">
        <f t="shared" si="2"/>
        <v>1.4970059880239361E-3</v>
      </c>
      <c r="J15" s="12">
        <f t="shared" si="2"/>
        <v>1.494768310911887E-3</v>
      </c>
      <c r="K15" s="12">
        <f>K14/J14-1</f>
        <v>1.4925373134329067E-3</v>
      </c>
      <c r="L15" s="12">
        <f t="shared" si="2"/>
        <v>1.4903129657228842E-3</v>
      </c>
      <c r="M15" s="12">
        <f t="shared" si="2"/>
        <v>1.4880952380953438E-3</v>
      </c>
      <c r="O15" s="82"/>
    </row>
    <row r="16" spans="2:15" x14ac:dyDescent="0.25">
      <c r="B16" s="16" t="s">
        <v>44</v>
      </c>
      <c r="C16" s="20">
        <f>'Annual Model'!C12</f>
        <v>44853</v>
      </c>
      <c r="D16" s="20">
        <f>'Annual Model'!D12</f>
        <v>50832</v>
      </c>
      <c r="E16" s="20">
        <f>'Annual Model'!E12</f>
        <v>52778</v>
      </c>
      <c r="F16" s="20">
        <f>'Annual Model'!F12</f>
        <v>50960</v>
      </c>
      <c r="G16" s="20">
        <f>'Annual Model'!G12</f>
        <v>51347.164769999988</v>
      </c>
      <c r="H16" s="20">
        <f>'Annual Model'!H12</f>
        <v>52728.758152399998</v>
      </c>
      <c r="I16" s="20">
        <f>'Annual Model'!I12</f>
        <v>54672.734055367997</v>
      </c>
      <c r="J16" s="20">
        <f>'Annual Model'!J12</f>
        <v>56851.384696426307</v>
      </c>
      <c r="K16" s="20">
        <f>'Annual Model'!K12</f>
        <v>58946.272084027965</v>
      </c>
      <c r="L16" s="20">
        <f>'Annual Model'!L12</f>
        <v>60970.870486914035</v>
      </c>
      <c r="M16" s="20">
        <f>'Annual Model'!M12</f>
        <v>62912.458115681758</v>
      </c>
    </row>
    <row r="17" spans="2:13" x14ac:dyDescent="0.25">
      <c r="B17" s="80" t="s">
        <v>246</v>
      </c>
      <c r="D17" s="12">
        <f>'Annual Model'!D12/'Annual Model'!D10</f>
        <v>0.33628611311417927</v>
      </c>
      <c r="E17" s="12">
        <f>'Annual Model'!E12/'Annual Model'!E10</f>
        <v>0.33530491794946732</v>
      </c>
      <c r="F17" s="12">
        <f>'Annual Model'!F12/'Annual Model'!F10</f>
        <v>0.33379402498215094</v>
      </c>
      <c r="G17" s="12">
        <f>'Annual Model'!G12/'Annual Model'!G10</f>
        <v>0.33299999999999991</v>
      </c>
      <c r="H17" s="12">
        <f>'Annual Model'!H12/'Annual Model'!H10</f>
        <v>0.33199999999999996</v>
      </c>
      <c r="I17" s="12">
        <f>'Annual Model'!I12/'Annual Model'!I10</f>
        <v>0.33100000000000002</v>
      </c>
      <c r="J17" s="12">
        <f>'Annual Model'!J12/'Annual Model'!J10</f>
        <v>0.32999999999999996</v>
      </c>
      <c r="K17" s="12">
        <f>'Annual Model'!K12/'Annual Model'!K10</f>
        <v>0.32900000000000001</v>
      </c>
      <c r="L17" s="12">
        <f>'Annual Model'!L12/'Annual Model'!L10</f>
        <v>0.32799999999999996</v>
      </c>
      <c r="M17" s="12">
        <f>'Annual Model'!M12/'Annual Model'!M10</f>
        <v>0.32699999999999996</v>
      </c>
    </row>
    <row r="18" spans="2:13" x14ac:dyDescent="0.25">
      <c r="B18" s="16" t="s">
        <v>48</v>
      </c>
      <c r="C18" s="20">
        <f>'Annual Model'!C15</f>
        <v>20406</v>
      </c>
      <c r="D18" s="20">
        <f>'Annual Model'!D15</f>
        <v>25426</v>
      </c>
      <c r="E18" s="20">
        <f>'Annual Model'!E15</f>
        <v>26494</v>
      </c>
      <c r="F18" s="20">
        <f>'Annual Model'!F15</f>
        <v>24362</v>
      </c>
      <c r="G18" s="20">
        <f>'Annual Model'!G15</f>
        <v>24581.388748549842</v>
      </c>
      <c r="H18" s="20">
        <f>'Annual Model'!H15</f>
        <v>25160.008850306345</v>
      </c>
      <c r="I18" s="20">
        <f>'Annual Model'!I15</f>
        <v>26001.2347811906</v>
      </c>
      <c r="J18" s="20">
        <f>'Annual Model'!J15</f>
        <v>26947.010953459285</v>
      </c>
      <c r="K18" s="20">
        <f>'Annual Model'!K15</f>
        <v>27845.723391342261</v>
      </c>
      <c r="L18" s="20">
        <f>'Annual Model'!L15</f>
        <v>28704.051218252611</v>
      </c>
      <c r="M18" s="20">
        <f>'Annual Model'!M15</f>
        <v>29516.300172617186</v>
      </c>
    </row>
    <row r="19" spans="2:13" x14ac:dyDescent="0.25">
      <c r="B19" s="80" t="s">
        <v>248</v>
      </c>
      <c r="D19" s="12">
        <f>D18/C18-1</f>
        <v>0.24600607664412433</v>
      </c>
      <c r="E19" s="12">
        <f t="shared" ref="E19:M19" si="3">E18/D18-1</f>
        <v>4.2004247620545998E-2</v>
      </c>
      <c r="F19" s="12">
        <f t="shared" si="3"/>
        <v>-8.0471050049067738E-2</v>
      </c>
      <c r="G19" s="12">
        <f t="shared" si="3"/>
        <v>9.0053669054199759E-3</v>
      </c>
      <c r="H19" s="12">
        <f t="shared" si="3"/>
        <v>2.3538950857308283E-2</v>
      </c>
      <c r="I19" s="12">
        <f t="shared" si="3"/>
        <v>3.3435041135687626E-2</v>
      </c>
      <c r="J19" s="12">
        <f t="shared" si="3"/>
        <v>3.6374279153575495E-2</v>
      </c>
      <c r="K19" s="12">
        <f t="shared" si="3"/>
        <v>3.3351099290201747E-2</v>
      </c>
      <c r="L19" s="12">
        <f t="shared" si="3"/>
        <v>3.0824403979291759E-2</v>
      </c>
      <c r="M19" s="12">
        <f t="shared" si="3"/>
        <v>2.8297362911896995E-2</v>
      </c>
    </row>
    <row r="20" spans="2:13" x14ac:dyDescent="0.25">
      <c r="B20" s="80" t="s">
        <v>249</v>
      </c>
      <c r="D20" s="12">
        <f>'Annual Model'!D15/'Annual Model'!D10</f>
        <v>0.16820921293754176</v>
      </c>
      <c r="E20" s="12">
        <f>'Annual Model'!E15/'Annual Model'!E10</f>
        <v>0.16831953647643311</v>
      </c>
      <c r="F20" s="12">
        <f>'Annual Model'!F15/'Annual Model'!F10</f>
        <v>0.15957398031034462</v>
      </c>
      <c r="G20" s="12">
        <f>'Annual Model'!G15/'Annual Model'!G10</f>
        <v>0.15941683420950251</v>
      </c>
      <c r="H20" s="12">
        <f>'Annual Model'!H15/'Annual Model'!H10</f>
        <v>0.15841683420950253</v>
      </c>
      <c r="I20" s="12">
        <f>'Annual Model'!I15/'Annual Model'!I10</f>
        <v>0.15741683420950256</v>
      </c>
      <c r="J20" s="12">
        <f>'Annual Model'!J15/'Annual Model'!J10</f>
        <v>0.15641683420950253</v>
      </c>
      <c r="K20" s="12">
        <f>'Annual Model'!K15/'Annual Model'!K10</f>
        <v>0.15541683420950256</v>
      </c>
      <c r="L20" s="12">
        <f>'Annual Model'!L15/'Annual Model'!L10</f>
        <v>0.15441683420950253</v>
      </c>
      <c r="M20" s="12">
        <f>'Annual Model'!M15/'Annual Model'!M10</f>
        <v>0.1534168342095025</v>
      </c>
    </row>
    <row r="21" spans="2:13" x14ac:dyDescent="0.25">
      <c r="B21" s="16" t="s">
        <v>47</v>
      </c>
      <c r="C21" s="20">
        <f>'Annual Model'!C17</f>
        <v>18278</v>
      </c>
      <c r="D21" s="20">
        <f>'Annual Model'!D17</f>
        <v>23040</v>
      </c>
      <c r="E21" s="20">
        <f>'Annual Model'!E17</f>
        <v>24039</v>
      </c>
      <c r="F21" s="20">
        <f>'Annual Model'!F17</f>
        <v>21689</v>
      </c>
      <c r="G21" s="20">
        <f>'Annual Model'!G17</f>
        <v>22075.783005482728</v>
      </c>
      <c r="H21" s="20">
        <f>'Annual Model'!H17</f>
        <v>22579.234934947217</v>
      </c>
      <c r="I21" s="20">
        <f>'Annual Model'!I17</f>
        <v>23317.229909217109</v>
      </c>
      <c r="J21" s="20">
        <f>'Annual Model'!J17</f>
        <v>24147.593871990932</v>
      </c>
      <c r="K21" s="20">
        <f>'Annual Model'!K17</f>
        <v>24934.329626615174</v>
      </c>
      <c r="L21" s="20">
        <f>'Annual Model'!L17</f>
        <v>25683.480187348257</v>
      </c>
      <c r="M21" s="20">
        <f>'Annual Model'!M17</f>
        <v>26390.009155631182</v>
      </c>
    </row>
    <row r="22" spans="2:13" x14ac:dyDescent="0.25">
      <c r="B22" s="80" t="s">
        <v>308</v>
      </c>
      <c r="C22" s="12">
        <f t="shared" ref="C22:M22" si="4">C21/C11</f>
        <v>0.13835440163500112</v>
      </c>
      <c r="D22" s="12">
        <f t="shared" si="4"/>
        <v>0.15242430056166767</v>
      </c>
      <c r="E22" s="12">
        <f t="shared" si="4"/>
        <v>0.15272262917479337</v>
      </c>
      <c r="F22" s="12">
        <f t="shared" si="4"/>
        <v>0.14206551428253281</v>
      </c>
      <c r="G22" s="12">
        <f t="shared" si="4"/>
        <v>0.1431673155422355</v>
      </c>
      <c r="H22" s="12">
        <f t="shared" si="4"/>
        <v>0.14216731554223555</v>
      </c>
      <c r="I22" s="12">
        <f t="shared" si="4"/>
        <v>0.14116731554223558</v>
      </c>
      <c r="J22" s="12">
        <f t="shared" si="4"/>
        <v>0.14016731554223555</v>
      </c>
      <c r="K22" s="12">
        <f t="shared" si="4"/>
        <v>0.13916731554223558</v>
      </c>
      <c r="L22" s="12">
        <f t="shared" si="4"/>
        <v>0.13816731554223555</v>
      </c>
      <c r="M22" s="12">
        <f t="shared" si="4"/>
        <v>0.13716731554223552</v>
      </c>
    </row>
    <row r="23" spans="2:13" x14ac:dyDescent="0.25">
      <c r="B23" s="80" t="s">
        <v>309</v>
      </c>
      <c r="D23" s="12">
        <f>D21/C21-1</f>
        <v>0.26053178684757627</v>
      </c>
      <c r="E23" s="12">
        <f t="shared" ref="E23:M23" si="5">E21/D21-1</f>
        <v>4.3359375000000089E-2</v>
      </c>
      <c r="F23" s="12">
        <f t="shared" si="5"/>
        <v>-9.7757810225050923E-2</v>
      </c>
      <c r="G23" s="12">
        <f t="shared" si="5"/>
        <v>1.7833141476450098E-2</v>
      </c>
      <c r="H23" s="12">
        <f t="shared" si="5"/>
        <v>2.280562050004975E-2</v>
      </c>
      <c r="I23" s="12">
        <f t="shared" si="5"/>
        <v>3.2684675826976539E-2</v>
      </c>
      <c r="J23" s="12">
        <f t="shared" si="5"/>
        <v>3.5611604208851011E-2</v>
      </c>
      <c r="K23" s="12">
        <f t="shared" si="5"/>
        <v>3.2580295941484483E-2</v>
      </c>
      <c r="L23" s="12">
        <f t="shared" si="5"/>
        <v>3.0044944939423335E-2</v>
      </c>
      <c r="M23" s="12">
        <f t="shared" si="5"/>
        <v>2.750908222441617E-2</v>
      </c>
    </row>
    <row r="24" spans="2:13" x14ac:dyDescent="0.25">
      <c r="B24" s="16" t="s">
        <v>250</v>
      </c>
      <c r="C24" s="20">
        <f>'Annual Model'!C22</f>
        <v>16978</v>
      </c>
      <c r="D24" s="20">
        <f>'Annual Model'!D22</f>
        <v>21737</v>
      </c>
      <c r="E24" s="20">
        <f>'Annual Model'!E22</f>
        <v>22477</v>
      </c>
      <c r="F24" s="20">
        <f>'Annual Model'!F22</f>
        <v>19924</v>
      </c>
      <c r="G24" s="20">
        <f ca="1">'Annual Model'!G22</f>
        <v>20001.934800408944</v>
      </c>
      <c r="H24" s="20">
        <f ca="1">'Annual Model'!H22</f>
        <v>20620.25018198802</v>
      </c>
      <c r="I24" s="20">
        <f ca="1">'Annual Model'!I22</f>
        <v>21489.35475569815</v>
      </c>
      <c r="J24" s="20">
        <f ca="1">'Annual Model'!J22</f>
        <v>22451.436355042493</v>
      </c>
      <c r="K24" s="20">
        <f ca="1">'Annual Model'!K22</f>
        <v>23368.076530074639</v>
      </c>
      <c r="L24" s="20">
        <f ca="1">'Annual Model'!L22</f>
        <v>24253.84368662523</v>
      </c>
      <c r="M24" s="20">
        <f ca="1">'Annual Model'!M22</f>
        <v>25104.253714197905</v>
      </c>
    </row>
    <row r="25" spans="2:13" x14ac:dyDescent="0.25">
      <c r="B25" s="80" t="s">
        <v>251</v>
      </c>
      <c r="D25" s="12">
        <f>'Annual Model'!D22/'Annual Model'!D10</f>
        <v>0.14380412418875738</v>
      </c>
      <c r="E25" s="12">
        <f>'Annual Model'!E22/'Annual Model'!E10</f>
        <v>0.14279905719713093</v>
      </c>
      <c r="F25" s="12">
        <f>'Annual Model'!F22/'Annual Model'!F10</f>
        <v>0.13050455560722871</v>
      </c>
      <c r="G25" s="12">
        <f ca="1">'Annual Model'!G22/'Annual Model'!G10</f>
        <v>0.12971785917238637</v>
      </c>
      <c r="H25" s="12">
        <f ca="1">'Annual Model'!H22/'Annual Model'!H10</f>
        <v>0.12983281420422421</v>
      </c>
      <c r="I25" s="12">
        <f ca="1">'Annual Model'!I22/'Annual Model'!I10</f>
        <v>0.13010098263848771</v>
      </c>
      <c r="J25" s="12">
        <f ca="1">'Annual Model'!J22/'Annual Model'!J10</f>
        <v>0.13032178612229567</v>
      </c>
      <c r="K25" s="12">
        <f ca="1">'Annual Model'!K22/'Annual Model'!K10</f>
        <v>0.13042550286191409</v>
      </c>
      <c r="L25" s="12">
        <f ca="1">'Annual Model'!L22/'Annual Model'!L10</f>
        <v>0.13047641711004412</v>
      </c>
      <c r="M25" s="12">
        <f ca="1">'Annual Model'!M22/'Annual Model'!M10</f>
        <v>0.13048434619178373</v>
      </c>
    </row>
    <row r="26" spans="2:13" x14ac:dyDescent="0.25">
      <c r="B26" s="16" t="s">
        <v>252</v>
      </c>
      <c r="C26" s="20">
        <f>'Annual Model'!C25</f>
        <v>12866</v>
      </c>
      <c r="D26" s="20">
        <f>'Annual Model'!D25</f>
        <v>16433</v>
      </c>
      <c r="E26" s="20">
        <f>'Annual Model'!E25</f>
        <v>17105</v>
      </c>
      <c r="F26" s="20">
        <f>'Annual Model'!F25</f>
        <v>15143</v>
      </c>
      <c r="G26" s="20">
        <f ca="1">'Annual Model'!G25</f>
        <v>15201.470448310798</v>
      </c>
      <c r="H26" s="20">
        <f ca="1">'Annual Model'!H25</f>
        <v>15671.390138310895</v>
      </c>
      <c r="I26" s="20">
        <f ca="1">'Annual Model'!I25</f>
        <v>16331.909614330594</v>
      </c>
      <c r="J26" s="20">
        <f ca="1">'Annual Model'!J25</f>
        <v>17063.091629832295</v>
      </c>
      <c r="K26" s="20">
        <f ca="1">'Annual Model'!K25</f>
        <v>17759.738162856724</v>
      </c>
      <c r="L26" s="20">
        <f ca="1">'Annual Model'!L25</f>
        <v>18432.921201835175</v>
      </c>
      <c r="M26" s="20">
        <f ca="1">'Annual Model'!M25</f>
        <v>19079.232822790407</v>
      </c>
    </row>
    <row r="27" spans="2:13" x14ac:dyDescent="0.25">
      <c r="B27" s="80" t="s">
        <v>247</v>
      </c>
      <c r="D27" s="12">
        <f>Summary!D26/Summary!C26-1</f>
        <v>0.27724234416290994</v>
      </c>
      <c r="E27" s="12">
        <f>Summary!E26/Summary!D26-1</f>
        <v>4.0893324408203036E-2</v>
      </c>
      <c r="F27" s="12">
        <f>Summary!F26/Summary!E26-1</f>
        <v>-0.11470330312774046</v>
      </c>
      <c r="G27" s="12">
        <f ca="1">Summary!G26/Summary!F26-1</f>
        <v>3.861219593924492E-3</v>
      </c>
      <c r="H27" s="12">
        <f ca="1">Summary!H26/Summary!G26-1</f>
        <v>3.0912778576122291E-2</v>
      </c>
      <c r="I27" s="12">
        <f ca="1">Summary!I26/Summary!H26-1</f>
        <v>4.2148110039387454E-2</v>
      </c>
      <c r="J27" s="12">
        <f ca="1">Summary!J26/Summary!I26-1</f>
        <v>4.4770148302812007E-2</v>
      </c>
      <c r="K27" s="12">
        <f ca="1">Summary!K26/Summary!J26-1</f>
        <v>4.0827685166177297E-2</v>
      </c>
      <c r="L27" s="12">
        <f ca="1">Summary!L26/Summary!K26-1</f>
        <v>3.7905009229604936E-2</v>
      </c>
      <c r="M27" s="12">
        <f ca="1">Summary!M26/Summary!L26-1</f>
        <v>3.506289718695732E-2</v>
      </c>
    </row>
  </sheetData>
  <mergeCells count="2">
    <mergeCell ref="C9:F9"/>
    <mergeCell ref="G9:M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F5A8-5ADE-47E5-9CD7-1841FBFA0EBA}">
  <dimension ref="B1:M48"/>
  <sheetViews>
    <sheetView showGridLines="0" zoomScale="115" zoomScaleNormal="115" workbookViewId="0">
      <pane xSplit="2" ySplit="6" topLeftCell="C9" activePane="bottomRight" state="frozen"/>
      <selection pane="topRight" activeCell="C1" sqref="C1"/>
      <selection pane="bottomLeft" activeCell="A7" sqref="A7"/>
      <selection pane="bottomRight" activeCell="B2" sqref="B2"/>
    </sheetView>
  </sheetViews>
  <sheetFormatPr defaultColWidth="8.85546875" defaultRowHeight="12" x14ac:dyDescent="0.2"/>
  <cols>
    <col min="1" max="1" width="2.28515625" style="2" customWidth="1"/>
    <col min="2" max="2" width="54" style="2" customWidth="1"/>
    <col min="3" max="16384" width="8.85546875" style="2"/>
  </cols>
  <sheetData>
    <row r="1" spans="2:13" ht="20.25" x14ac:dyDescent="0.3">
      <c r="B1" s="14" t="s">
        <v>0</v>
      </c>
    </row>
    <row r="2" spans="2:13" x14ac:dyDescent="0.2">
      <c r="B2" s="1" t="s">
        <v>161</v>
      </c>
    </row>
    <row r="3" spans="2:13" x14ac:dyDescent="0.2">
      <c r="B3" s="3"/>
    </row>
    <row r="5" spans="2:13" x14ac:dyDescent="0.2">
      <c r="B5" s="2" t="s">
        <v>3</v>
      </c>
      <c r="C5" s="4">
        <f>DATE(2021,1,31)</f>
        <v>44227</v>
      </c>
      <c r="D5" s="4">
        <f>DATE(2022,1,30)</f>
        <v>44591</v>
      </c>
      <c r="E5" s="4">
        <f>DATE(2022,1,29)</f>
        <v>44590</v>
      </c>
      <c r="F5" s="4">
        <f>DATE(2024,1,28)</f>
        <v>45319</v>
      </c>
      <c r="G5" s="4"/>
      <c r="H5" s="4"/>
      <c r="I5" s="4"/>
      <c r="J5" s="4"/>
      <c r="K5" s="4"/>
      <c r="L5" s="4"/>
      <c r="M5" s="4"/>
    </row>
    <row r="6" spans="2:13" x14ac:dyDescent="0.2">
      <c r="B6" s="2" t="s">
        <v>63</v>
      </c>
      <c r="C6" s="30" t="s">
        <v>158</v>
      </c>
      <c r="D6" s="15" t="s">
        <v>159</v>
      </c>
      <c r="E6" s="15" t="s">
        <v>160</v>
      </c>
      <c r="F6" s="15" t="s">
        <v>334</v>
      </c>
      <c r="G6" s="15" t="s">
        <v>33</v>
      </c>
      <c r="H6" s="15" t="s">
        <v>38</v>
      </c>
      <c r="I6" s="15" t="s">
        <v>39</v>
      </c>
      <c r="J6" s="15" t="s">
        <v>40</v>
      </c>
      <c r="K6" s="15" t="s">
        <v>41</v>
      </c>
      <c r="L6" s="15" t="s">
        <v>42</v>
      </c>
      <c r="M6" s="15" t="s">
        <v>333</v>
      </c>
    </row>
    <row r="9" spans="2:13" x14ac:dyDescent="0.2">
      <c r="B9" s="5" t="s">
        <v>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2:13" x14ac:dyDescent="0.2">
      <c r="B10" s="2" t="s">
        <v>184</v>
      </c>
      <c r="D10" s="61">
        <f>'Annual Model'!D10/'Annual Model'!C10-1</f>
        <v>0.14417530845507542</v>
      </c>
      <c r="E10" s="61">
        <f>'Annual Model'!E10/'Annual Model'!D10-1</f>
        <v>4.1321275230389531E-2</v>
      </c>
      <c r="F10" s="61">
        <f>'Annual Model'!F10/'Annual Model'!E10-1</f>
        <v>-3.0075665648049865E-2</v>
      </c>
      <c r="G10" s="62">
        <v>0.01</v>
      </c>
      <c r="H10" s="62">
        <v>0.03</v>
      </c>
      <c r="I10" s="62">
        <v>0.04</v>
      </c>
      <c r="J10" s="62">
        <v>4.2999999999999997E-2</v>
      </c>
      <c r="K10" s="62">
        <v>0.04</v>
      </c>
      <c r="L10" s="62">
        <v>3.7499999999999999E-2</v>
      </c>
      <c r="M10" s="62">
        <v>3.5000000000000003E-2</v>
      </c>
    </row>
    <row r="11" spans="2:13" x14ac:dyDescent="0.2">
      <c r="B11" s="2" t="s">
        <v>148</v>
      </c>
      <c r="C11" s="61">
        <f>'Annual Model'!C11/'Annual Model'!C10</f>
        <v>0.6604874725607448</v>
      </c>
      <c r="D11" s="61">
        <f>'Annual Model'!D11/'Annual Model'!D10</f>
        <v>0.66371388688582067</v>
      </c>
      <c r="E11" s="61">
        <f>'Annual Model'!E11/'Annual Model'!E10</f>
        <v>0.66469508205053274</v>
      </c>
      <c r="F11" s="61">
        <f>'Annual Model'!F11/'Annual Model'!F10</f>
        <v>0.66620597501784906</v>
      </c>
      <c r="G11" s="62">
        <v>0.66700000000000004</v>
      </c>
      <c r="H11" s="62">
        <v>0.66800000000000004</v>
      </c>
      <c r="I11" s="62">
        <v>0.66900000000000004</v>
      </c>
      <c r="J11" s="62">
        <v>0.67</v>
      </c>
      <c r="K11" s="62">
        <v>0.67100000000000004</v>
      </c>
      <c r="L11" s="62">
        <v>0.67200000000000004</v>
      </c>
      <c r="M11" s="62">
        <v>0.67300000000000004</v>
      </c>
    </row>
    <row r="12" spans="2:13" x14ac:dyDescent="0.2">
      <c r="B12" s="2" t="s">
        <v>149</v>
      </c>
      <c r="C12" s="61">
        <f>'Annual Model'!C14/'Annual Model'!C10</f>
        <v>0.1850503368405117</v>
      </c>
      <c r="D12" s="61">
        <f>'Annual Model'!D14/'Annual Model'!D10</f>
        <v>0.16807690017663754</v>
      </c>
      <c r="E12" s="61">
        <f>'Annual Model'!E14/'Annual Model'!E10</f>
        <v>0.16698538147303418</v>
      </c>
      <c r="F12" s="61">
        <f>'Annual Model'!F14/'Annual Model'!F10</f>
        <v>0.17422004467180632</v>
      </c>
      <c r="G12" s="61">
        <f>AVERAGE(C12:F12)</f>
        <v>0.17358316579049743</v>
      </c>
      <c r="H12" s="61">
        <f>G12</f>
        <v>0.17358316579049743</v>
      </c>
      <c r="I12" s="61">
        <f t="shared" ref="I12:M13" si="0">H12</f>
        <v>0.17358316579049743</v>
      </c>
      <c r="J12" s="61">
        <f t="shared" si="0"/>
        <v>0.17358316579049743</v>
      </c>
      <c r="K12" s="61">
        <f t="shared" si="0"/>
        <v>0.17358316579049743</v>
      </c>
      <c r="L12" s="61">
        <f t="shared" si="0"/>
        <v>0.17358316579049743</v>
      </c>
      <c r="M12" s="61">
        <f t="shared" si="0"/>
        <v>0.17358316579049743</v>
      </c>
    </row>
    <row r="13" spans="2:13" x14ac:dyDescent="0.2">
      <c r="B13" s="2" t="s">
        <v>152</v>
      </c>
      <c r="C13" s="61">
        <f>'Annual Model'!C16/'Annual Model'!C10</f>
        <v>1.6107788963742337E-2</v>
      </c>
      <c r="D13" s="61">
        <f>'Annual Model'!D16/'Annual Model'!D10</f>
        <v>1.578491237587409E-2</v>
      </c>
      <c r="E13" s="61">
        <f>'Annual Model'!E16/'Annual Model'!E10</f>
        <v>1.5596907301639739E-2</v>
      </c>
      <c r="F13" s="61">
        <f>'Annual Model'!F16/'Annual Model'!F10</f>
        <v>1.7508466027811802E-2</v>
      </c>
      <c r="G13" s="61">
        <f>AVERAGE(C13:F13)</f>
        <v>1.6249518667266993E-2</v>
      </c>
      <c r="H13" s="61">
        <f>G13</f>
        <v>1.6249518667266993E-2</v>
      </c>
      <c r="I13" s="61">
        <f t="shared" si="0"/>
        <v>1.6249518667266993E-2</v>
      </c>
      <c r="J13" s="61">
        <f t="shared" si="0"/>
        <v>1.6249518667266993E-2</v>
      </c>
      <c r="K13" s="61">
        <f t="shared" si="0"/>
        <v>1.6249518667266993E-2</v>
      </c>
      <c r="L13" s="61">
        <f t="shared" si="0"/>
        <v>1.6249518667266993E-2</v>
      </c>
      <c r="M13" s="61">
        <f t="shared" si="0"/>
        <v>1.6249518667266993E-2</v>
      </c>
    </row>
    <row r="14" spans="2:13" x14ac:dyDescent="0.2">
      <c r="B14" s="2" t="s">
        <v>188</v>
      </c>
      <c r="C14" s="61">
        <f>'Annual Model'!C24</f>
        <v>0.24219578277771234</v>
      </c>
      <c r="D14" s="61">
        <f>'Annual Model'!D24</f>
        <v>0.244007912775452</v>
      </c>
      <c r="E14" s="61">
        <f>'Annual Model'!E24</f>
        <v>0.23899986653023089</v>
      </c>
      <c r="F14" s="61">
        <f>'Annual Model'!F24</f>
        <v>0.23996185504918691</v>
      </c>
      <c r="G14" s="62">
        <v>0.24</v>
      </c>
      <c r="H14" s="62">
        <v>0.24</v>
      </c>
      <c r="I14" s="62">
        <v>0.24</v>
      </c>
      <c r="J14" s="62">
        <v>0.24</v>
      </c>
      <c r="K14" s="62">
        <v>0.24</v>
      </c>
      <c r="L14" s="62">
        <v>0.24</v>
      </c>
      <c r="M14" s="62">
        <v>0.24</v>
      </c>
    </row>
    <row r="15" spans="2:13" x14ac:dyDescent="0.2">
      <c r="B15" s="9" t="s">
        <v>59</v>
      </c>
      <c r="C15" s="10">
        <f>'Annual Model'!C30</f>
        <v>1074</v>
      </c>
      <c r="D15" s="10">
        <f>'Annual Model'!D30</f>
        <v>1054</v>
      </c>
      <c r="E15" s="10">
        <f>'Annual Model'!E30</f>
        <v>1022</v>
      </c>
      <c r="F15" s="10">
        <f>'Annual Model'!F30</f>
        <v>999</v>
      </c>
      <c r="G15" s="11">
        <v>995</v>
      </c>
      <c r="H15" s="11">
        <v>992</v>
      </c>
      <c r="I15" s="11">
        <v>990</v>
      </c>
      <c r="J15" s="11">
        <v>988</v>
      </c>
      <c r="K15" s="11">
        <v>986</v>
      </c>
      <c r="L15" s="11">
        <v>986</v>
      </c>
      <c r="M15" s="11">
        <v>984</v>
      </c>
    </row>
    <row r="16" spans="2:13" x14ac:dyDescent="0.2">
      <c r="B16" s="8" t="s">
        <v>189</v>
      </c>
      <c r="C16" s="10"/>
      <c r="D16" s="61">
        <f>D15/C15-1</f>
        <v>-1.8621973929236479E-2</v>
      </c>
      <c r="E16" s="61">
        <f t="shared" ref="E16:F16" si="1">E15/D15-1</f>
        <v>-3.0360531309297945E-2</v>
      </c>
      <c r="F16" s="61">
        <f t="shared" si="1"/>
        <v>-2.2504892367906093E-2</v>
      </c>
      <c r="G16" s="61">
        <f t="shared" ref="G16" si="2">G15/F15-1</f>
        <v>-4.0040040040040248E-3</v>
      </c>
      <c r="H16" s="61">
        <f t="shared" ref="H16" si="3">H15/G15-1</f>
        <v>-3.0150753768843908E-3</v>
      </c>
      <c r="I16" s="61">
        <f t="shared" ref="I16" si="4">I15/H15-1</f>
        <v>-2.0161290322581182E-3</v>
      </c>
      <c r="J16" s="61">
        <f t="shared" ref="J16" si="5">J15/I15-1</f>
        <v>-2.0202020202020332E-3</v>
      </c>
      <c r="K16" s="61">
        <f t="shared" ref="K16" si="6">K15/J15-1</f>
        <v>-2.0242914979756721E-3</v>
      </c>
      <c r="L16" s="61">
        <f t="shared" ref="L16" si="7">L15/K15-1</f>
        <v>0</v>
      </c>
      <c r="M16" s="61">
        <f t="shared" ref="M16" si="8">M15/L15-1</f>
        <v>-2.0283975659228792E-3</v>
      </c>
    </row>
    <row r="17" spans="2:13" x14ac:dyDescent="0.2">
      <c r="B17" s="9" t="s">
        <v>60</v>
      </c>
      <c r="C17" s="10">
        <f>'Annual Model'!C31</f>
        <v>1078</v>
      </c>
      <c r="D17" s="10">
        <f>'Annual Model'!D31</f>
        <v>1058</v>
      </c>
      <c r="E17" s="10">
        <f>'Annual Model'!E31</f>
        <v>1025</v>
      </c>
      <c r="F17" s="10">
        <f>'Annual Model'!F31</f>
        <v>1002</v>
      </c>
      <c r="G17" s="11">
        <v>997</v>
      </c>
      <c r="H17" s="11">
        <v>995</v>
      </c>
      <c r="I17" s="11">
        <v>992</v>
      </c>
      <c r="J17" s="11">
        <v>990</v>
      </c>
      <c r="K17" s="11">
        <v>988</v>
      </c>
      <c r="L17" s="11">
        <v>988</v>
      </c>
      <c r="M17" s="11">
        <v>986</v>
      </c>
    </row>
    <row r="18" spans="2:13" x14ac:dyDescent="0.2">
      <c r="B18" s="8" t="s">
        <v>189</v>
      </c>
      <c r="D18" s="61">
        <f>D17/C17-1</f>
        <v>-1.8552875695732829E-2</v>
      </c>
      <c r="E18" s="61">
        <f t="shared" ref="E18:F18" si="9">E17/D17-1</f>
        <v>-3.1190926275992403E-2</v>
      </c>
      <c r="F18" s="61">
        <f t="shared" si="9"/>
        <v>-2.2439024390243922E-2</v>
      </c>
      <c r="G18" s="61">
        <f t="shared" ref="G18" si="10">G17/F17-1</f>
        <v>-4.9900199600798611E-3</v>
      </c>
      <c r="H18" s="61">
        <f t="shared" ref="H18" si="11">H17/G17-1</f>
        <v>-2.0060180541624506E-3</v>
      </c>
      <c r="I18" s="61">
        <f t="shared" ref="I18" si="12">I17/H17-1</f>
        <v>-3.0150753768843908E-3</v>
      </c>
      <c r="J18" s="61">
        <f t="shared" ref="J18" si="13">J17/I17-1</f>
        <v>-2.0161290322581182E-3</v>
      </c>
      <c r="K18" s="61">
        <f t="shared" ref="K18" si="14">K17/J17-1</f>
        <v>-2.0202020202020332E-3</v>
      </c>
      <c r="L18" s="61">
        <f t="shared" ref="L18" si="15">L17/K17-1</f>
        <v>0</v>
      </c>
      <c r="M18" s="61">
        <f t="shared" ref="M18" si="16">M17/L17-1</f>
        <v>-2.0242914979756721E-3</v>
      </c>
    </row>
    <row r="20" spans="2:13" x14ac:dyDescent="0.2">
      <c r="B20" s="5" t="s">
        <v>67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2:13" x14ac:dyDescent="0.2">
      <c r="B21" s="2" t="s">
        <v>73</v>
      </c>
      <c r="C21" s="10">
        <f>'Annual Model'!C41</f>
        <v>1040</v>
      </c>
      <c r="D21" s="10">
        <f>'Annual Model'!D41</f>
        <v>963</v>
      </c>
      <c r="E21" s="10">
        <f>'Annual Model'!E41</f>
        <v>1218</v>
      </c>
      <c r="F21" s="10">
        <f>'Annual Model'!F41</f>
        <v>1511</v>
      </c>
      <c r="G21" s="11">
        <v>1511</v>
      </c>
      <c r="H21" s="11">
        <v>1511</v>
      </c>
      <c r="I21" s="11">
        <v>1511</v>
      </c>
      <c r="J21" s="11">
        <v>1511</v>
      </c>
      <c r="K21" s="11">
        <v>1511</v>
      </c>
      <c r="L21" s="11">
        <v>1511</v>
      </c>
      <c r="M21" s="11">
        <v>1511</v>
      </c>
    </row>
    <row r="22" spans="2:13" x14ac:dyDescent="0.2">
      <c r="B22" s="2" t="s">
        <v>76</v>
      </c>
      <c r="C22" s="10">
        <f>'Annual Model'!C45</f>
        <v>5595</v>
      </c>
      <c r="D22" s="10">
        <f>'Annual Model'!D45</f>
        <v>5962</v>
      </c>
      <c r="E22" s="10">
        <f>'Annual Model'!E45</f>
        <v>5968</v>
      </c>
      <c r="F22" s="10">
        <f>'Annual Model'!F45</f>
        <v>6941</v>
      </c>
      <c r="G22" s="11">
        <v>6941</v>
      </c>
      <c r="H22" s="11">
        <v>6941</v>
      </c>
      <c r="I22" s="11">
        <v>6941</v>
      </c>
      <c r="J22" s="11">
        <v>6941</v>
      </c>
      <c r="K22" s="11">
        <v>6941</v>
      </c>
      <c r="L22" s="11">
        <v>6941</v>
      </c>
      <c r="M22" s="11">
        <v>6941</v>
      </c>
    </row>
    <row r="23" spans="2:13" x14ac:dyDescent="0.2">
      <c r="B23" s="2" t="s">
        <v>77</v>
      </c>
      <c r="C23" s="10">
        <f>'Annual Model'!C46</f>
        <v>2254</v>
      </c>
      <c r="D23" s="10">
        <f>'Annual Model'!D46</f>
        <v>7126</v>
      </c>
      <c r="E23" s="10">
        <f>'Annual Model'!E46</f>
        <v>7449</v>
      </c>
      <c r="F23" s="10">
        <f>'Annual Model'!F46</f>
        <v>7444</v>
      </c>
      <c r="G23" s="11">
        <v>7444</v>
      </c>
      <c r="H23" s="11">
        <v>7444</v>
      </c>
      <c r="I23" s="11">
        <v>7444</v>
      </c>
      <c r="J23" s="11">
        <v>7444</v>
      </c>
      <c r="K23" s="11">
        <v>7444</v>
      </c>
      <c r="L23" s="11">
        <v>7444</v>
      </c>
      <c r="M23" s="11">
        <v>7444</v>
      </c>
    </row>
    <row r="25" spans="2:13" x14ac:dyDescent="0.2">
      <c r="B25" s="5" t="s">
        <v>68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2:13" x14ac:dyDescent="0.2">
      <c r="B26" s="2" t="s">
        <v>185</v>
      </c>
      <c r="C26" s="61">
        <f>-'Annual Model'!C108/'Annual Model'!C10</f>
        <v>1.8643554613579593E-2</v>
      </c>
      <c r="D26" s="61">
        <f>-'Annual Model'!D108/'Annual Model'!D10</f>
        <v>1.6975727224012121E-2</v>
      </c>
      <c r="E26" s="61">
        <f>-'Annual Model'!E108/'Annual Model'!E10</f>
        <v>1.9815378360005846E-2</v>
      </c>
      <c r="F26" s="61">
        <f>-'Annual Model'!F108/'Annual Model'!F10</f>
        <v>2.113068140879943E-2</v>
      </c>
      <c r="G26" s="62">
        <v>0.02</v>
      </c>
      <c r="H26" s="62">
        <v>0.02</v>
      </c>
      <c r="I26" s="62">
        <v>0.02</v>
      </c>
      <c r="J26" s="62">
        <v>0.02</v>
      </c>
      <c r="K26" s="62">
        <v>0.02</v>
      </c>
      <c r="L26" s="62">
        <v>0.02</v>
      </c>
      <c r="M26" s="62">
        <v>0.02</v>
      </c>
    </row>
    <row r="27" spans="2:13" x14ac:dyDescent="0.2">
      <c r="B27" s="9" t="s">
        <v>146</v>
      </c>
      <c r="C27" s="10">
        <f>'Annual Model'!C89</f>
        <v>0</v>
      </c>
      <c r="D27" s="10">
        <f>'Annual Model'!D89</f>
        <v>0</v>
      </c>
      <c r="E27" s="10">
        <f>'Annual Model'!E89</f>
        <v>0</v>
      </c>
      <c r="F27" s="10">
        <f>'Annual Model'!F89</f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</row>
    <row r="28" spans="2:13" x14ac:dyDescent="0.2">
      <c r="B28" s="9" t="s">
        <v>112</v>
      </c>
      <c r="C28" s="10">
        <f>'Annual Model'!C90</f>
        <v>310</v>
      </c>
      <c r="D28" s="10">
        <f>'Annual Model'!D90</f>
        <v>399</v>
      </c>
      <c r="E28" s="10">
        <f>'Annual Model'!E90</f>
        <v>366</v>
      </c>
      <c r="F28" s="10">
        <f>'Annual Model'!F90</f>
        <v>380</v>
      </c>
      <c r="G28" s="10">
        <f>G29*'Annual Model'!G10</f>
        <v>385.48922500000003</v>
      </c>
      <c r="H28" s="10">
        <f>H29*'Annual Model'!H10</f>
        <v>397.05390175000002</v>
      </c>
      <c r="I28" s="10">
        <f>I29*'Annual Model'!I10</f>
        <v>412.93605781999997</v>
      </c>
      <c r="J28" s="10">
        <f>J29*'Annual Model'!J10</f>
        <v>430.69230830625997</v>
      </c>
      <c r="K28" s="10">
        <f>K29*'Annual Model'!K10</f>
        <v>447.92000063851037</v>
      </c>
      <c r="L28" s="10">
        <f>L29*'Annual Model'!L10</f>
        <v>464.71700066245461</v>
      </c>
      <c r="M28" s="10">
        <f>M29*'Annual Model'!M10</f>
        <v>480.98209568564045</v>
      </c>
    </row>
    <row r="29" spans="2:13" x14ac:dyDescent="0.2">
      <c r="B29" s="8" t="s">
        <v>190</v>
      </c>
      <c r="C29" s="61">
        <f>'Annual Model'!C90/'Annual Model'!C10</f>
        <v>2.3465294073120885E-3</v>
      </c>
      <c r="D29" s="61">
        <f>'Annual Model'!D90/'Annual Model'!D10</f>
        <v>2.639639580039297E-3</v>
      </c>
      <c r="E29" s="61">
        <f>'Annual Model'!E90/'Annual Model'!E10</f>
        <v>2.3252415773524012E-3</v>
      </c>
      <c r="F29" s="61">
        <f>'Annual Model'!F90/'Annual Model'!F10</f>
        <v>2.489044927260937E-3</v>
      </c>
      <c r="G29" s="62">
        <v>2.5000000000000001E-3</v>
      </c>
      <c r="H29" s="62">
        <v>2.5000000000000001E-3</v>
      </c>
      <c r="I29" s="62">
        <v>2.5000000000000001E-3</v>
      </c>
      <c r="J29" s="62">
        <v>2.5000000000000001E-3</v>
      </c>
      <c r="K29" s="62">
        <v>2.5000000000000001E-3</v>
      </c>
      <c r="L29" s="62">
        <v>2.5000000000000001E-3</v>
      </c>
      <c r="M29" s="62">
        <v>2.5000000000000001E-3</v>
      </c>
    </row>
    <row r="30" spans="2:13" x14ac:dyDescent="0.2">
      <c r="B30" s="9" t="s">
        <v>142</v>
      </c>
      <c r="C30" s="10">
        <f>'Annual Model'!C91</f>
        <v>0</v>
      </c>
      <c r="D30" s="10">
        <f>'Annual Model'!D91</f>
        <v>0</v>
      </c>
      <c r="E30" s="10">
        <f>'Annual Model'!E91</f>
        <v>0</v>
      </c>
      <c r="F30" s="10">
        <f>'Annual Model'!F91</f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</row>
    <row r="31" spans="2:13" x14ac:dyDescent="0.2">
      <c r="B31" s="9" t="s">
        <v>115</v>
      </c>
      <c r="C31" s="10">
        <f>'Annual Model'!C94</f>
        <v>43</v>
      </c>
      <c r="D31" s="10">
        <f>'Annual Model'!D94</f>
        <v>-330</v>
      </c>
      <c r="E31" s="10">
        <f>'Annual Model'!E94</f>
        <v>-311</v>
      </c>
      <c r="F31" s="10">
        <f>'Annual Model'!F94</f>
        <v>-184</v>
      </c>
      <c r="G31" s="11">
        <v>-184</v>
      </c>
      <c r="H31" s="11">
        <v>-184</v>
      </c>
      <c r="I31" s="11">
        <v>-184</v>
      </c>
      <c r="J31" s="11">
        <v>-184</v>
      </c>
      <c r="K31" s="11">
        <v>-184</v>
      </c>
      <c r="L31" s="11">
        <v>-184</v>
      </c>
      <c r="M31" s="11">
        <v>-184</v>
      </c>
    </row>
    <row r="32" spans="2:13" x14ac:dyDescent="0.2">
      <c r="B32" s="9" t="s">
        <v>117</v>
      </c>
      <c r="C32" s="10">
        <f>'Annual Model'!C92</f>
        <v>702</v>
      </c>
      <c r="D32" s="10">
        <f>'Annual Model'!D92</f>
        <v>775</v>
      </c>
      <c r="E32" s="10">
        <f>'Annual Model'!E92</f>
        <v>-526</v>
      </c>
      <c r="F32" s="10">
        <f>'Annual Model'!F92</f>
        <v>-318</v>
      </c>
      <c r="G32" s="10">
        <f>G33*'Annual Model'!G10</f>
        <v>231.29353500000002</v>
      </c>
      <c r="H32" s="10">
        <f>H33*'Annual Model'!H10</f>
        <v>238.23234105</v>
      </c>
      <c r="I32" s="10">
        <f>I33*'Annual Model'!I10</f>
        <v>247.761634692</v>
      </c>
      <c r="J32" s="10">
        <f>J33*'Annual Model'!J10</f>
        <v>258.41538498375598</v>
      </c>
      <c r="K32" s="10">
        <f>K33*'Annual Model'!K10</f>
        <v>268.75200038310624</v>
      </c>
      <c r="L32" s="10">
        <f>L33*'Annual Model'!L10</f>
        <v>278.83020039747277</v>
      </c>
      <c r="M32" s="10">
        <f>M33*'Annual Model'!M10</f>
        <v>288.58925741138427</v>
      </c>
    </row>
    <row r="33" spans="2:13" x14ac:dyDescent="0.2">
      <c r="B33" s="8" t="s">
        <v>191</v>
      </c>
      <c r="C33" s="61">
        <f>'Annual Model'!C92/'Annual Model'!C10</f>
        <v>5.3137536901067296E-3</v>
      </c>
      <c r="D33" s="61">
        <f>'Annual Model'!D92/'Annual Model'!D10</f>
        <v>5.1271194850387343E-3</v>
      </c>
      <c r="E33" s="61">
        <f>'Annual Model'!E92/'Annual Model'!E10</f>
        <v>-3.3417406275611013E-3</v>
      </c>
      <c r="F33" s="61">
        <f>'Annual Model'!F92/'Annual Model'!F10</f>
        <v>-2.0829375970236263E-3</v>
      </c>
      <c r="G33" s="62">
        <v>1.5E-3</v>
      </c>
      <c r="H33" s="62">
        <v>1.5E-3</v>
      </c>
      <c r="I33" s="62">
        <v>1.5E-3</v>
      </c>
      <c r="J33" s="62">
        <v>1.5E-3</v>
      </c>
      <c r="K33" s="62">
        <v>1.5E-3</v>
      </c>
      <c r="L33" s="62">
        <v>1.5E-3</v>
      </c>
      <c r="M33" s="62">
        <v>1.5E-3</v>
      </c>
    </row>
    <row r="34" spans="2:13" x14ac:dyDescent="0.2">
      <c r="B34" s="9" t="s">
        <v>120</v>
      </c>
      <c r="C34" s="10">
        <f>'Annual Model'!C95</f>
        <v>121</v>
      </c>
      <c r="D34" s="10">
        <f>'Annual Model'!D95</f>
        <v>196</v>
      </c>
      <c r="E34" s="10">
        <f>'Annual Model'!E95</f>
        <v>271</v>
      </c>
      <c r="F34" s="10">
        <f>'Annual Model'!F95</f>
        <v>314</v>
      </c>
      <c r="G34" s="10">
        <f>G35*'Annual Model'!G10</f>
        <v>354.65008699999998</v>
      </c>
      <c r="H34" s="10">
        <f>H35*'Annual Model'!H10</f>
        <v>397.05390175000002</v>
      </c>
      <c r="I34" s="10">
        <f>I35*'Annual Model'!I10</f>
        <v>445.97094244560003</v>
      </c>
      <c r="J34" s="10">
        <f>J35*'Annual Model'!J10</f>
        <v>499.60307763526151</v>
      </c>
      <c r="K34" s="10">
        <f>K35*'Annual Model'!K10</f>
        <v>555.42080079175287</v>
      </c>
      <c r="L34" s="10">
        <f>L35*'Annual Model'!L10</f>
        <v>613.42644087444</v>
      </c>
      <c r="M34" s="10">
        <f>M35*'Annual Model'!M10</f>
        <v>673.37493395989668</v>
      </c>
    </row>
    <row r="35" spans="2:13" x14ac:dyDescent="0.2">
      <c r="B35" s="8" t="s">
        <v>192</v>
      </c>
      <c r="C35" s="61">
        <f>'Annual Model'!C95/'Annual Model'!C10</f>
        <v>9.1590341382181517E-4</v>
      </c>
      <c r="D35" s="61">
        <f>'Annual Model'!D95/'Annual Model'!D10</f>
        <v>1.296665056861409E-3</v>
      </c>
      <c r="E35" s="61">
        <f>'Annual Model'!E95/'Annual Model'!E10</f>
        <v>1.7216952662909857E-3</v>
      </c>
      <c r="F35" s="61">
        <f>'Annual Model'!F95/'Annual Model'!F10</f>
        <v>2.0567371241050902E-3</v>
      </c>
      <c r="G35" s="62">
        <v>2.3E-3</v>
      </c>
      <c r="H35" s="62">
        <v>2.5000000000000001E-3</v>
      </c>
      <c r="I35" s="62">
        <v>2.7000000000000001E-3</v>
      </c>
      <c r="J35" s="62">
        <v>2.8999999999999998E-3</v>
      </c>
      <c r="K35" s="62">
        <v>3.0999999999999999E-3</v>
      </c>
      <c r="L35" s="62">
        <v>3.3E-3</v>
      </c>
      <c r="M35" s="62">
        <v>3.5000000000000001E-3</v>
      </c>
    </row>
    <row r="37" spans="2:13" x14ac:dyDescent="0.2">
      <c r="B37" s="9" t="s">
        <v>143</v>
      </c>
      <c r="C37" s="10">
        <f>'Annual Model'!C109</f>
        <v>-7780</v>
      </c>
      <c r="D37" s="10">
        <f>'Annual Model'!D109</f>
        <v>-421</v>
      </c>
      <c r="E37" s="10">
        <f>'Annual Model'!E109</f>
        <v>0</v>
      </c>
      <c r="F37" s="10">
        <f>'Annual Model'!F109</f>
        <v>-1514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</row>
    <row r="38" spans="2:13" x14ac:dyDescent="0.2">
      <c r="B38" s="9" t="s">
        <v>124</v>
      </c>
      <c r="C38" s="10">
        <f>'Annual Model'!C110</f>
        <v>0</v>
      </c>
      <c r="D38" s="10">
        <f>'Annual Model'!D110</f>
        <v>0</v>
      </c>
      <c r="E38" s="10">
        <f>'Annual Model'!E110</f>
        <v>0</v>
      </c>
      <c r="F38" s="10">
        <f>'Annual Model'!F110</f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</row>
    <row r="39" spans="2:13" x14ac:dyDescent="0.2">
      <c r="B39" s="9" t="s">
        <v>125</v>
      </c>
      <c r="C39" s="10">
        <f>'Annual Model'!C111</f>
        <v>73</v>
      </c>
      <c r="D39" s="10">
        <f>'Annual Model'!D111</f>
        <v>18</v>
      </c>
      <c r="E39" s="10">
        <f>'Annual Model'!E111</f>
        <v>-21</v>
      </c>
      <c r="F39" s="10">
        <f>'Annual Model'!F111</f>
        <v>11</v>
      </c>
      <c r="G39" s="11">
        <v>10</v>
      </c>
      <c r="H39" s="11">
        <v>10</v>
      </c>
      <c r="I39" s="11">
        <v>10</v>
      </c>
      <c r="J39" s="11">
        <v>10</v>
      </c>
      <c r="K39" s="11">
        <v>10</v>
      </c>
      <c r="L39" s="11">
        <v>10</v>
      </c>
      <c r="M39" s="11">
        <v>10</v>
      </c>
    </row>
    <row r="40" spans="2:13" x14ac:dyDescent="0.2">
      <c r="B40" s="9"/>
      <c r="C40" s="10"/>
      <c r="D40" s="10"/>
      <c r="E40" s="10"/>
      <c r="F40" s="10"/>
      <c r="G40" s="11"/>
      <c r="H40" s="11"/>
      <c r="I40" s="11"/>
      <c r="J40" s="11"/>
      <c r="K40" s="11"/>
      <c r="L40" s="11"/>
      <c r="M40" s="11"/>
    </row>
    <row r="41" spans="2:13" x14ac:dyDescent="0.2">
      <c r="B41" s="9" t="s">
        <v>129</v>
      </c>
      <c r="C41" s="10">
        <f>'Annual Model'!C122</f>
        <v>-791</v>
      </c>
      <c r="D41" s="10">
        <f>'Annual Model'!D122</f>
        <v>-14809</v>
      </c>
      <c r="E41" s="10">
        <f>'Annual Model'!E122</f>
        <v>-6696</v>
      </c>
      <c r="F41" s="10">
        <f>'Annual Model'!F122</f>
        <v>-7951</v>
      </c>
      <c r="G41" s="11">
        <v>-3500</v>
      </c>
      <c r="H41" s="11">
        <v>-3500</v>
      </c>
      <c r="I41" s="11">
        <v>-3500</v>
      </c>
      <c r="J41" s="11">
        <v>-3500</v>
      </c>
      <c r="K41" s="11">
        <v>-3500</v>
      </c>
      <c r="L41" s="11">
        <v>-3500</v>
      </c>
      <c r="M41" s="11">
        <v>-3500</v>
      </c>
    </row>
    <row r="42" spans="2:13" x14ac:dyDescent="0.2">
      <c r="B42" s="9" t="s">
        <v>130</v>
      </c>
      <c r="C42" s="10">
        <f>'Annual Model'!C123</f>
        <v>326</v>
      </c>
      <c r="D42" s="10">
        <f>'Annual Model'!D123</f>
        <v>337</v>
      </c>
      <c r="E42" s="10">
        <f>'Annual Model'!E123</f>
        <v>264</v>
      </c>
      <c r="F42" s="10">
        <f>'Annual Model'!F123</f>
        <v>323</v>
      </c>
      <c r="G42" s="10">
        <f>AVERAGE(C42:F42)</f>
        <v>312.5</v>
      </c>
      <c r="H42" s="10">
        <f>G42</f>
        <v>312.5</v>
      </c>
      <c r="I42" s="10">
        <f t="shared" ref="I42:M42" si="17">H42</f>
        <v>312.5</v>
      </c>
      <c r="J42" s="10">
        <f t="shared" si="17"/>
        <v>312.5</v>
      </c>
      <c r="K42" s="10">
        <f t="shared" si="17"/>
        <v>312.5</v>
      </c>
      <c r="L42" s="10">
        <f t="shared" si="17"/>
        <v>312.5</v>
      </c>
      <c r="M42" s="10">
        <f t="shared" si="17"/>
        <v>312.5</v>
      </c>
    </row>
    <row r="43" spans="2:13" x14ac:dyDescent="0.2">
      <c r="B43" s="9" t="s">
        <v>131</v>
      </c>
      <c r="C43" s="10">
        <f>'Annual Model'!C124</f>
        <v>-6451</v>
      </c>
      <c r="D43" s="10">
        <f>'Annual Model'!D124</f>
        <v>-6985</v>
      </c>
      <c r="E43" s="10">
        <f>'Annual Model'!E124</f>
        <v>-7789</v>
      </c>
      <c r="F43" s="10">
        <f>'Annual Model'!F124</f>
        <v>-8383</v>
      </c>
      <c r="G43" s="10">
        <f>-G44*'Annual Model'!G30</f>
        <v>-8955</v>
      </c>
      <c r="H43" s="10">
        <f>-H44*'Annual Model'!H30</f>
        <v>-9076.8000000000011</v>
      </c>
      <c r="I43" s="10">
        <f>-I44*'Annual Model'!I30</f>
        <v>-9207</v>
      </c>
      <c r="J43" s="10">
        <f>-J44*'Annual Model'!J30</f>
        <v>-9336.5999999999985</v>
      </c>
      <c r="K43" s="10">
        <f>-K44*'Annual Model'!K30</f>
        <v>-9367</v>
      </c>
      <c r="L43" s="10">
        <f>-L44*'Annual Model'!L30</f>
        <v>-9416.3000000000011</v>
      </c>
      <c r="M43" s="10">
        <f>-M44*'Annual Model'!M30</f>
        <v>-9446.4</v>
      </c>
    </row>
    <row r="44" spans="2:13" x14ac:dyDescent="0.2">
      <c r="B44" s="7" t="s">
        <v>193</v>
      </c>
      <c r="C44" s="63">
        <f>-C43/'Annual Model'!C30</f>
        <v>6.0065176908752331</v>
      </c>
      <c r="D44" s="63">
        <f>-D43/'Annual Model'!D30</f>
        <v>6.6271347248576848</v>
      </c>
      <c r="E44" s="63">
        <f>-E43/'Annual Model'!E30</f>
        <v>7.6213307240704502</v>
      </c>
      <c r="F44" s="63">
        <f>-F43/'Annual Model'!F30</f>
        <v>8.3913913913913909</v>
      </c>
      <c r="G44" s="49">
        <v>9</v>
      </c>
      <c r="H44" s="49">
        <v>9.15</v>
      </c>
      <c r="I44" s="49">
        <v>9.3000000000000007</v>
      </c>
      <c r="J44" s="49">
        <v>9.4499999999999993</v>
      </c>
      <c r="K44" s="49">
        <v>9.5</v>
      </c>
      <c r="L44" s="49">
        <v>9.5500000000000007</v>
      </c>
      <c r="M44" s="49">
        <v>9.6</v>
      </c>
    </row>
    <row r="45" spans="2:13" x14ac:dyDescent="0.2">
      <c r="B45" s="7" t="s">
        <v>194</v>
      </c>
      <c r="C45" s="61"/>
      <c r="D45" s="61">
        <f>D44/C44-1</f>
        <v>0.10332393342073365</v>
      </c>
      <c r="E45" s="61">
        <f t="shared" ref="E45" si="18">E44/D44-1</f>
        <v>0.15001898112673651</v>
      </c>
      <c r="F45" s="61">
        <f>F44/E44-1</f>
        <v>0.10104018513313662</v>
      </c>
      <c r="G45" s="61">
        <f>G44/F44-1</f>
        <v>7.2527734701181013E-2</v>
      </c>
      <c r="H45" s="61">
        <f t="shared" ref="H45" si="19">H44/G44-1</f>
        <v>1.6666666666666607E-2</v>
      </c>
      <c r="I45" s="61">
        <f t="shared" ref="I45" si="20">I44/H44-1</f>
        <v>1.6393442622950838E-2</v>
      </c>
      <c r="J45" s="61">
        <f t="shared" ref="J45" si="21">J44/I44-1</f>
        <v>1.612903225806428E-2</v>
      </c>
      <c r="K45" s="61">
        <f t="shared" ref="K45" si="22">K44/J44-1</f>
        <v>5.2910052910053462E-3</v>
      </c>
      <c r="L45" s="61">
        <f t="shared" ref="L45" si="23">L44/K44-1</f>
        <v>5.2631578947368585E-3</v>
      </c>
      <c r="M45" s="61">
        <f t="shared" ref="M45" si="24">M44/L44-1</f>
        <v>5.2356020942407877E-3</v>
      </c>
    </row>
    <row r="46" spans="2:13" x14ac:dyDescent="0.2">
      <c r="B46" s="9" t="s">
        <v>132</v>
      </c>
      <c r="C46" s="10">
        <f>'Annual Model'!C125</f>
        <v>-154</v>
      </c>
      <c r="D46" s="10">
        <f>'Annual Model'!D125</f>
        <v>-145</v>
      </c>
      <c r="E46" s="10">
        <f>'Annual Model'!E125</f>
        <v>-188</v>
      </c>
      <c r="F46" s="10">
        <f>'Annual Model'!F125</f>
        <v>-156</v>
      </c>
      <c r="G46" s="11">
        <v>-156</v>
      </c>
      <c r="H46" s="11">
        <v>-156</v>
      </c>
      <c r="I46" s="11">
        <v>-156</v>
      </c>
      <c r="J46" s="11">
        <v>-156</v>
      </c>
      <c r="K46" s="11">
        <v>-156</v>
      </c>
      <c r="L46" s="11">
        <v>-156</v>
      </c>
      <c r="M46" s="11">
        <v>-156</v>
      </c>
    </row>
    <row r="48" spans="2:13" x14ac:dyDescent="0.2">
      <c r="B48" s="9" t="s">
        <v>135</v>
      </c>
      <c r="C48" s="10">
        <f>'Annual Model'!C129</f>
        <v>76</v>
      </c>
      <c r="D48" s="10">
        <f>'Annual Model'!D129</f>
        <v>-34</v>
      </c>
      <c r="E48" s="10">
        <f>'Annual Model'!E129</f>
        <v>-68</v>
      </c>
      <c r="F48" s="10">
        <f>'Annual Model'!F129</f>
        <v>3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62DA5-C4BB-4971-91A0-77D399DEF2C2}">
  <dimension ref="B1:M56"/>
  <sheetViews>
    <sheetView showGridLines="0" zoomScale="115" zoomScaleNormal="115" workbookViewId="0">
      <pane xSplit="2" ySplit="9" topLeftCell="C13" activePane="bottomRight" state="frozen"/>
      <selection pane="topRight" activeCell="C1" sqref="C1"/>
      <selection pane="bottomLeft" activeCell="A10" sqref="A10"/>
      <selection pane="bottomRight" activeCell="C7" sqref="C7"/>
    </sheetView>
  </sheetViews>
  <sheetFormatPr defaultColWidth="8.85546875" defaultRowHeight="12" x14ac:dyDescent="0.2"/>
  <cols>
    <col min="1" max="1" width="3.140625" style="2" customWidth="1"/>
    <col min="2" max="2" width="49.140625" style="2" customWidth="1"/>
    <col min="3" max="16384" width="8.85546875" style="2"/>
  </cols>
  <sheetData>
    <row r="1" spans="2:13" ht="20.25" x14ac:dyDescent="0.3">
      <c r="B1" s="14" t="s">
        <v>0</v>
      </c>
    </row>
    <row r="2" spans="2:13" x14ac:dyDescent="0.2">
      <c r="B2" s="1" t="s">
        <v>150</v>
      </c>
    </row>
    <row r="4" spans="2:13" x14ac:dyDescent="0.2">
      <c r="C4" s="150" t="s">
        <v>253</v>
      </c>
      <c r="D4" s="150"/>
      <c r="E4" s="150"/>
      <c r="F4" s="150"/>
      <c r="G4" s="150" t="s">
        <v>155</v>
      </c>
      <c r="H4" s="150"/>
      <c r="I4" s="150"/>
      <c r="J4" s="150"/>
      <c r="K4" s="150"/>
      <c r="L4" s="150"/>
      <c r="M4" s="150"/>
    </row>
    <row r="5" spans="2:13" x14ac:dyDescent="0.2">
      <c r="B5" s="2" t="s">
        <v>3</v>
      </c>
      <c r="C5" s="4">
        <f>DATE(2021,1,31)</f>
        <v>44227</v>
      </c>
      <c r="D5" s="4">
        <f>DATE(2022,1,30)</f>
        <v>44591</v>
      </c>
      <c r="E5" s="4">
        <f>DATE(2022,1,29)</f>
        <v>44590</v>
      </c>
      <c r="F5" s="4">
        <f>DATE(2024,1,28)</f>
        <v>45319</v>
      </c>
    </row>
    <row r="6" spans="2:13" x14ac:dyDescent="0.2">
      <c r="B6" s="2" t="s">
        <v>63</v>
      </c>
      <c r="C6" s="30" t="s">
        <v>158</v>
      </c>
      <c r="D6" s="15" t="s">
        <v>159</v>
      </c>
      <c r="E6" s="15" t="s">
        <v>160</v>
      </c>
      <c r="F6" s="15" t="s">
        <v>334</v>
      </c>
      <c r="G6" s="15" t="s">
        <v>33</v>
      </c>
      <c r="H6" s="15" t="s">
        <v>38</v>
      </c>
      <c r="I6" s="15" t="s">
        <v>39</v>
      </c>
      <c r="J6" s="15" t="s">
        <v>40</v>
      </c>
      <c r="K6" s="15" t="s">
        <v>41</v>
      </c>
      <c r="L6" s="15" t="s">
        <v>42</v>
      </c>
      <c r="M6" s="15" t="s">
        <v>333</v>
      </c>
    </row>
    <row r="8" spans="2:13" x14ac:dyDescent="0.2">
      <c r="B8" s="2" t="s">
        <v>254</v>
      </c>
      <c r="C8" s="81">
        <v>1</v>
      </c>
    </row>
    <row r="13" spans="2:13" x14ac:dyDescent="0.2">
      <c r="B13" s="5" t="s">
        <v>153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2:13" x14ac:dyDescent="0.2">
      <c r="B14" s="16" t="s">
        <v>256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2:13" x14ac:dyDescent="0.2">
      <c r="B15" s="7" t="s">
        <v>151</v>
      </c>
      <c r="G15" s="62">
        <v>0.02</v>
      </c>
      <c r="H15" s="62">
        <v>0.03</v>
      </c>
      <c r="I15" s="62">
        <v>0.04</v>
      </c>
      <c r="J15" s="62">
        <v>4.4999999999999998E-2</v>
      </c>
      <c r="K15" s="62">
        <v>4.4999999999999998E-2</v>
      </c>
      <c r="L15" s="62">
        <v>0.04</v>
      </c>
      <c r="M15" s="62">
        <v>0.04</v>
      </c>
    </row>
    <row r="16" spans="2:13" x14ac:dyDescent="0.2">
      <c r="B16" s="7" t="s">
        <v>148</v>
      </c>
      <c r="G16" s="62">
        <v>0.66</v>
      </c>
      <c r="H16" s="62">
        <v>0.66049999999999998</v>
      </c>
      <c r="I16" s="62">
        <v>0.66100000000000003</v>
      </c>
      <c r="J16" s="62">
        <v>0.66149999999999998</v>
      </c>
      <c r="K16" s="62">
        <v>0.66200000000000003</v>
      </c>
      <c r="L16" s="62">
        <v>0.66249999999999998</v>
      </c>
      <c r="M16" s="62">
        <v>0.66300000000000003</v>
      </c>
    </row>
    <row r="17" spans="2:13" x14ac:dyDescent="0.2">
      <c r="B17" s="7" t="s">
        <v>149</v>
      </c>
      <c r="G17" s="62">
        <v>0.17100000000000001</v>
      </c>
      <c r="H17" s="62">
        <v>0.17100000000000001</v>
      </c>
      <c r="I17" s="62">
        <v>0.17100000000000001</v>
      </c>
      <c r="J17" s="62">
        <v>0.17100000000000001</v>
      </c>
      <c r="K17" s="62">
        <v>0.17100000000000001</v>
      </c>
      <c r="L17" s="62">
        <v>0.17100000000000001</v>
      </c>
      <c r="M17" s="62">
        <v>0.17100000000000001</v>
      </c>
    </row>
    <row r="18" spans="2:13" x14ac:dyDescent="0.2">
      <c r="B18" s="7" t="s">
        <v>152</v>
      </c>
      <c r="G18" s="62">
        <v>1.55E-2</v>
      </c>
      <c r="H18" s="62">
        <v>1.55E-2</v>
      </c>
      <c r="I18" s="62">
        <v>1.55E-2</v>
      </c>
      <c r="J18" s="62">
        <v>1.55E-2</v>
      </c>
      <c r="K18" s="62">
        <v>1.55E-2</v>
      </c>
      <c r="L18" s="62">
        <v>1.55E-2</v>
      </c>
      <c r="M18" s="62">
        <v>1.55E-2</v>
      </c>
    </row>
    <row r="20" spans="2:13" x14ac:dyDescent="0.2">
      <c r="B20" s="16" t="s">
        <v>255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2:13" x14ac:dyDescent="0.2">
      <c r="B21" s="7" t="s">
        <v>151</v>
      </c>
      <c r="G21" s="62">
        <v>0.01</v>
      </c>
      <c r="H21" s="62">
        <v>0.03</v>
      </c>
      <c r="I21" s="62">
        <v>3.4000000000000002E-2</v>
      </c>
      <c r="J21" s="62">
        <v>4.2999999999999997E-2</v>
      </c>
      <c r="K21" s="62">
        <v>3.7499999999999999E-2</v>
      </c>
      <c r="L21" s="62">
        <v>3.7499999999999999E-2</v>
      </c>
      <c r="M21" s="62">
        <v>3.5000000000000003E-2</v>
      </c>
    </row>
    <row r="22" spans="2:13" x14ac:dyDescent="0.2">
      <c r="B22" s="7" t="s">
        <v>148</v>
      </c>
      <c r="G22" s="62">
        <v>0.66700000000000004</v>
      </c>
      <c r="H22" s="62">
        <v>0.66749999999999998</v>
      </c>
      <c r="I22" s="62">
        <v>0.66800000000000004</v>
      </c>
      <c r="J22" s="62">
        <v>0.66849999999999998</v>
      </c>
      <c r="K22" s="62">
        <v>0.66849999999999998</v>
      </c>
      <c r="L22" s="62">
        <v>0.66900000000000004</v>
      </c>
      <c r="M22" s="62">
        <v>0.66949999999999998</v>
      </c>
    </row>
    <row r="23" spans="2:13" x14ac:dyDescent="0.2">
      <c r="B23" s="7" t="s">
        <v>149</v>
      </c>
      <c r="G23" s="62">
        <v>0.1736</v>
      </c>
      <c r="H23" s="62">
        <v>0.1736</v>
      </c>
      <c r="I23" s="62">
        <v>0.1736</v>
      </c>
      <c r="J23" s="62">
        <v>0.1736</v>
      </c>
      <c r="K23" s="62">
        <v>0.1736</v>
      </c>
      <c r="L23" s="62">
        <v>0.1736</v>
      </c>
      <c r="M23" s="62">
        <v>0.1736</v>
      </c>
    </row>
    <row r="24" spans="2:13" x14ac:dyDescent="0.2">
      <c r="B24" s="7" t="s">
        <v>152</v>
      </c>
      <c r="G24" s="62">
        <v>1.6199999999999999E-2</v>
      </c>
      <c r="H24" s="62">
        <v>1.6199999999999999E-2</v>
      </c>
      <c r="I24" s="62">
        <v>1.6199999999999999E-2</v>
      </c>
      <c r="J24" s="62">
        <v>1.6199999999999999E-2</v>
      </c>
      <c r="K24" s="62">
        <v>1.6199999999999999E-2</v>
      </c>
      <c r="L24" s="62">
        <v>1.6199999999999999E-2</v>
      </c>
      <c r="M24" s="62">
        <v>1.6199999999999999E-2</v>
      </c>
    </row>
    <row r="26" spans="2:13" x14ac:dyDescent="0.2">
      <c r="B26" s="16" t="s">
        <v>257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2:13" x14ac:dyDescent="0.2">
      <c r="B27" s="7" t="s">
        <v>151</v>
      </c>
      <c r="G27" s="62">
        <v>0.01</v>
      </c>
      <c r="H27" s="62">
        <v>0.02</v>
      </c>
      <c r="I27" s="62">
        <v>2.75E-2</v>
      </c>
      <c r="J27" s="62">
        <v>0.03</v>
      </c>
      <c r="K27" s="62">
        <v>3.5000000000000003E-2</v>
      </c>
      <c r="L27" s="62">
        <v>3.5000000000000003E-2</v>
      </c>
      <c r="M27" s="62">
        <v>3.6999999999999998E-2</v>
      </c>
    </row>
    <row r="28" spans="2:13" x14ac:dyDescent="0.2">
      <c r="B28" s="7" t="s">
        <v>148</v>
      </c>
      <c r="G28" s="62">
        <v>0.67</v>
      </c>
      <c r="H28" s="62">
        <v>0.67049999999999998</v>
      </c>
      <c r="I28" s="62">
        <v>0.67100000000000004</v>
      </c>
      <c r="J28" s="62">
        <v>0.67149999999999999</v>
      </c>
      <c r="K28" s="62">
        <v>0.67200000000000004</v>
      </c>
      <c r="L28" s="62">
        <v>0.67249999999999999</v>
      </c>
      <c r="M28" s="62">
        <v>0.67300000000000004</v>
      </c>
    </row>
    <row r="29" spans="2:13" x14ac:dyDescent="0.2">
      <c r="B29" s="7" t="s">
        <v>149</v>
      </c>
      <c r="G29" s="62">
        <v>0.17499999999999999</v>
      </c>
      <c r="H29" s="62">
        <v>0.17499999999999999</v>
      </c>
      <c r="I29" s="62">
        <v>0.17499999999999999</v>
      </c>
      <c r="J29" s="62">
        <v>0.17499999999999999</v>
      </c>
      <c r="K29" s="62">
        <v>0.17499999999999999</v>
      </c>
      <c r="L29" s="62">
        <v>0.17499999999999999</v>
      </c>
      <c r="M29" s="62">
        <v>0.17499999999999999</v>
      </c>
    </row>
    <row r="30" spans="2:13" x14ac:dyDescent="0.2">
      <c r="B30" s="7" t="s">
        <v>152</v>
      </c>
      <c r="G30" s="62">
        <v>1.7000000000000001E-2</v>
      </c>
      <c r="H30" s="62">
        <v>1.7000000000000001E-2</v>
      </c>
      <c r="I30" s="62">
        <v>1.7000000000000001E-2</v>
      </c>
      <c r="J30" s="62">
        <v>1.7000000000000001E-2</v>
      </c>
      <c r="K30" s="62">
        <v>1.7000000000000001E-2</v>
      </c>
      <c r="L30" s="62">
        <v>1.7000000000000001E-2</v>
      </c>
      <c r="M30" s="62">
        <v>1.7000000000000001E-2</v>
      </c>
    </row>
    <row r="34" spans="2:13" x14ac:dyDescent="0.2">
      <c r="B34" s="5" t="s">
        <v>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2:13" x14ac:dyDescent="0.2">
      <c r="B35" s="16" t="s">
        <v>43</v>
      </c>
      <c r="C35" s="17">
        <v>132110</v>
      </c>
      <c r="D35" s="17">
        <v>151157</v>
      </c>
      <c r="E35" s="17">
        <v>157403</v>
      </c>
      <c r="F35" s="17">
        <v>152669</v>
      </c>
      <c r="G35" s="18">
        <f t="shared" ref="G35:M35" si="0">F35*(1+CHOOSE($C$8,G21,G15,G27))</f>
        <v>154195.69</v>
      </c>
      <c r="H35" s="18">
        <f t="shared" si="0"/>
        <v>158821.5607</v>
      </c>
      <c r="I35" s="18">
        <f t="shared" si="0"/>
        <v>164221.49376380001</v>
      </c>
      <c r="J35" s="18">
        <f t="shared" si="0"/>
        <v>171283.0179956434</v>
      </c>
      <c r="K35" s="18">
        <f t="shared" si="0"/>
        <v>177706.13117048005</v>
      </c>
      <c r="L35" s="18">
        <f t="shared" si="0"/>
        <v>184370.11108937307</v>
      </c>
      <c r="M35" s="18">
        <f t="shared" si="0"/>
        <v>190823.06497750111</v>
      </c>
    </row>
    <row r="36" spans="2:13" x14ac:dyDescent="0.2">
      <c r="B36" s="7" t="s">
        <v>66</v>
      </c>
      <c r="C36" s="11">
        <v>87257</v>
      </c>
      <c r="D36" s="11">
        <v>100325</v>
      </c>
      <c r="E36" s="11">
        <v>104625</v>
      </c>
      <c r="F36" s="11">
        <v>101709</v>
      </c>
      <c r="G36" s="45">
        <f t="shared" ref="G36:M36" si="1">G35*CHOOSE($C$8,G22,G16,G28)</f>
        <v>102848.52523000001</v>
      </c>
      <c r="H36" s="45">
        <f t="shared" si="1"/>
        <v>106013.39176725</v>
      </c>
      <c r="I36" s="45">
        <f t="shared" si="1"/>
        <v>109699.95783421841</v>
      </c>
      <c r="J36" s="45">
        <f t="shared" si="1"/>
        <v>114502.69753008761</v>
      </c>
      <c r="K36" s="45">
        <f t="shared" si="1"/>
        <v>118796.54868746591</v>
      </c>
      <c r="L36" s="45">
        <f t="shared" si="1"/>
        <v>123343.60431879059</v>
      </c>
      <c r="M36" s="45">
        <f t="shared" si="1"/>
        <v>127756.042002437</v>
      </c>
    </row>
    <row r="37" spans="2:13" x14ac:dyDescent="0.2">
      <c r="B37" s="16" t="s">
        <v>44</v>
      </c>
      <c r="C37" s="18">
        <f>C35-C36</f>
        <v>44853</v>
      </c>
      <c r="D37" s="18">
        <f>D35-D36</f>
        <v>50832</v>
      </c>
      <c r="E37" s="18">
        <f>E35-E36</f>
        <v>52778</v>
      </c>
      <c r="F37" s="18">
        <f>F35-F36</f>
        <v>50960</v>
      </c>
      <c r="G37" s="18">
        <f t="shared" ref="G37:M37" si="2">G35-G36</f>
        <v>51347.164769999988</v>
      </c>
      <c r="H37" s="18">
        <f t="shared" si="2"/>
        <v>52808.168932750006</v>
      </c>
      <c r="I37" s="18">
        <f t="shared" si="2"/>
        <v>54521.535929581602</v>
      </c>
      <c r="J37" s="18">
        <f t="shared" si="2"/>
        <v>56780.320465555793</v>
      </c>
      <c r="K37" s="18">
        <f t="shared" si="2"/>
        <v>58909.582483014136</v>
      </c>
      <c r="L37" s="18">
        <f t="shared" si="2"/>
        <v>61026.506770582477</v>
      </c>
      <c r="M37" s="18">
        <f t="shared" si="2"/>
        <v>63067.022975064116</v>
      </c>
    </row>
    <row r="38" spans="2:13" ht="15" x14ac:dyDescent="0.25">
      <c r="B38" s="2" t="s">
        <v>45</v>
      </c>
      <c r="C38"/>
      <c r="D38"/>
      <c r="E38"/>
      <c r="F38"/>
      <c r="G38"/>
      <c r="H38"/>
      <c r="I38"/>
      <c r="J38"/>
      <c r="K38"/>
      <c r="L38"/>
      <c r="M38"/>
    </row>
    <row r="39" spans="2:13" x14ac:dyDescent="0.2">
      <c r="B39" s="7" t="s">
        <v>46</v>
      </c>
      <c r="C39" s="11">
        <v>24447</v>
      </c>
      <c r="D39" s="11">
        <v>25406</v>
      </c>
      <c r="E39" s="11">
        <v>26284</v>
      </c>
      <c r="F39" s="11">
        <v>26598</v>
      </c>
      <c r="G39" s="45">
        <f t="shared" ref="G39:M39" si="3">G35*CHOOSE($C$8,G23,G17,G29)</f>
        <v>26768.371784000003</v>
      </c>
      <c r="H39" s="45">
        <f t="shared" si="3"/>
        <v>27571.422937520001</v>
      </c>
      <c r="I39" s="45">
        <f t="shared" si="3"/>
        <v>28508.851317395682</v>
      </c>
      <c r="J39" s="45">
        <f t="shared" si="3"/>
        <v>29734.731924043695</v>
      </c>
      <c r="K39" s="45">
        <f t="shared" si="3"/>
        <v>30849.784371195336</v>
      </c>
      <c r="L39" s="45">
        <f t="shared" si="3"/>
        <v>32006.651285115164</v>
      </c>
      <c r="M39" s="45">
        <f t="shared" si="3"/>
        <v>33126.884080094191</v>
      </c>
    </row>
    <row r="40" spans="2:13" x14ac:dyDescent="0.2">
      <c r="B40" s="16" t="s">
        <v>48</v>
      </c>
      <c r="C40" s="18">
        <f>C42+C41</f>
        <v>20406</v>
      </c>
      <c r="D40" s="18">
        <f>D42+D41</f>
        <v>25426</v>
      </c>
      <c r="E40" s="18">
        <f>E42+E41</f>
        <v>26494</v>
      </c>
      <c r="F40" s="18">
        <f>F42+F41</f>
        <v>24362</v>
      </c>
      <c r="G40" s="18">
        <f t="shared" ref="G40:M40" si="4">G42+G41</f>
        <v>24578.792985999986</v>
      </c>
      <c r="H40" s="18">
        <f t="shared" si="4"/>
        <v>25236.745995230005</v>
      </c>
      <c r="I40" s="18">
        <f t="shared" si="4"/>
        <v>26012.68461218592</v>
      </c>
      <c r="J40" s="18">
        <f t="shared" si="4"/>
        <v>27045.588541512097</v>
      </c>
      <c r="K40" s="18">
        <f t="shared" si="4"/>
        <v>28059.7981118188</v>
      </c>
      <c r="L40" s="18">
        <f t="shared" si="4"/>
        <v>29019.855485467313</v>
      </c>
      <c r="M40" s="18">
        <f t="shared" si="4"/>
        <v>29940.138894969925</v>
      </c>
    </row>
    <row r="41" spans="2:13" x14ac:dyDescent="0.2">
      <c r="B41" s="9" t="s">
        <v>54</v>
      </c>
      <c r="C41" s="11">
        <v>2128</v>
      </c>
      <c r="D41" s="11">
        <v>2386</v>
      </c>
      <c r="E41" s="11">
        <v>2455</v>
      </c>
      <c r="F41" s="11">
        <v>2673</v>
      </c>
      <c r="G41" s="52">
        <f t="shared" ref="G41:M41" si="5">G35*CHOOSE($C$8,G24,G18,G30)</f>
        <v>2497.970178</v>
      </c>
      <c r="H41" s="52">
        <f t="shared" si="5"/>
        <v>2572.90928334</v>
      </c>
      <c r="I41" s="52">
        <f t="shared" si="5"/>
        <v>2660.3881989735601</v>
      </c>
      <c r="J41" s="52">
        <f t="shared" si="5"/>
        <v>2774.784891529423</v>
      </c>
      <c r="K41" s="52">
        <f t="shared" si="5"/>
        <v>2878.8393249617766</v>
      </c>
      <c r="L41" s="52">
        <f t="shared" si="5"/>
        <v>2986.7957996478435</v>
      </c>
      <c r="M41" s="52">
        <f t="shared" si="5"/>
        <v>3091.3336526355179</v>
      </c>
    </row>
    <row r="42" spans="2:13" x14ac:dyDescent="0.2">
      <c r="B42" s="16" t="s">
        <v>47</v>
      </c>
      <c r="C42" s="18">
        <f>C37-C39-C41</f>
        <v>18278</v>
      </c>
      <c r="D42" s="18">
        <f>D37-D39-D41</f>
        <v>23040</v>
      </c>
      <c r="E42" s="18">
        <f>E37-E39-E41</f>
        <v>24039</v>
      </c>
      <c r="F42" s="18">
        <f>F37-F39-F41</f>
        <v>21689</v>
      </c>
      <c r="G42" s="18">
        <f t="shared" ref="G42:M42" si="6">G37-G39-G41</f>
        <v>22080.822807999986</v>
      </c>
      <c r="H42" s="18">
        <f>H37-H39-H41</f>
        <v>22663.836711890006</v>
      </c>
      <c r="I42" s="18">
        <f t="shared" si="6"/>
        <v>23352.29641321236</v>
      </c>
      <c r="J42" s="18">
        <f t="shared" si="6"/>
        <v>24270.803649982674</v>
      </c>
      <c r="K42" s="18">
        <f t="shared" si="6"/>
        <v>25180.958786857023</v>
      </c>
      <c r="L42" s="18">
        <f t="shared" si="6"/>
        <v>26033.059685819469</v>
      </c>
      <c r="M42" s="18">
        <f t="shared" si="6"/>
        <v>26848.805242334405</v>
      </c>
    </row>
    <row r="43" spans="2:13" ht="15" x14ac:dyDescent="0.25">
      <c r="B43" s="2" t="s">
        <v>49</v>
      </c>
      <c r="C43"/>
      <c r="D43"/>
      <c r="E43"/>
      <c r="F43"/>
      <c r="G43"/>
      <c r="H43"/>
      <c r="I43"/>
      <c r="J43"/>
      <c r="K43"/>
      <c r="L43"/>
      <c r="M43"/>
    </row>
    <row r="44" spans="2:13" x14ac:dyDescent="0.2">
      <c r="B44" s="7" t="s">
        <v>50</v>
      </c>
      <c r="C44" s="11">
        <v>-47</v>
      </c>
      <c r="D44" s="11">
        <v>-44</v>
      </c>
      <c r="E44" s="11">
        <v>-55</v>
      </c>
      <c r="F44" s="11">
        <v>-178</v>
      </c>
      <c r="G44" s="52">
        <f ca="1">-'Annual Model'!G274</f>
        <v>-58.881794926217374</v>
      </c>
      <c r="H44" s="52">
        <f ca="1">-'Annual Model'!H274</f>
        <v>-100.59524704080356</v>
      </c>
      <c r="I44" s="52">
        <f ca="1">-'Annual Model'!I274</f>
        <v>-121.50484648103964</v>
      </c>
      <c r="J44" s="52">
        <f ca="1">-'Annual Model'!J274</f>
        <v>-147.77248305156289</v>
      </c>
      <c r="K44" s="52">
        <f ca="1">-'Annual Model'!K274</f>
        <v>-182.67690345946679</v>
      </c>
      <c r="L44" s="52">
        <f ca="1">-'Annual Model'!L274</f>
        <v>-224.29349927697288</v>
      </c>
      <c r="M44" s="52">
        <f ca="1">-'Annual Model'!M274</f>
        <v>-273.17455856672177</v>
      </c>
    </row>
    <row r="45" spans="2:13" x14ac:dyDescent="0.2">
      <c r="B45" s="7" t="s">
        <v>51</v>
      </c>
      <c r="C45" s="11">
        <v>1347</v>
      </c>
      <c r="D45" s="11">
        <v>1347</v>
      </c>
      <c r="E45" s="11">
        <v>1617</v>
      </c>
      <c r="F45" s="11">
        <v>1943</v>
      </c>
      <c r="G45" s="52">
        <f>'Annual Model'!G272</f>
        <v>2132.73</v>
      </c>
      <c r="H45" s="52">
        <f>'Annual Model'!H272</f>
        <v>2059.58</v>
      </c>
      <c r="I45" s="52">
        <f>'Annual Model'!I272</f>
        <v>1949.38</v>
      </c>
      <c r="J45" s="52">
        <f>'Annual Model'!J272</f>
        <v>1843.93</v>
      </c>
      <c r="K45" s="52">
        <f>'Annual Model'!K272</f>
        <v>1748.93</v>
      </c>
      <c r="L45" s="52">
        <f>'Annual Model'!L272</f>
        <v>1653.93</v>
      </c>
      <c r="M45" s="52">
        <f>'Annual Model'!M272</f>
        <v>1558.93</v>
      </c>
    </row>
    <row r="46" spans="2:13" x14ac:dyDescent="0.2">
      <c r="B46" s="7" t="s">
        <v>52</v>
      </c>
      <c r="C46" s="45">
        <f>SUM(C44:C45)</f>
        <v>1300</v>
      </c>
      <c r="D46" s="45">
        <f>SUM(D44:D45)</f>
        <v>1303</v>
      </c>
      <c r="E46" s="45">
        <f>SUM(E44:E45)</f>
        <v>1562</v>
      </c>
      <c r="F46" s="45">
        <f>SUM(F44:F45)</f>
        <v>1765</v>
      </c>
      <c r="G46" s="45">
        <f ca="1">SUM(G44:G45)</f>
        <v>2073.8482050737825</v>
      </c>
      <c r="H46" s="45">
        <f t="shared" ref="H46:M46" ca="1" si="7">SUM(H44:H45)</f>
        <v>1958.9847529591964</v>
      </c>
      <c r="I46" s="45">
        <f t="shared" ca="1" si="7"/>
        <v>1827.8751535189604</v>
      </c>
      <c r="J46" s="45">
        <f t="shared" ca="1" si="7"/>
        <v>1696.1575169484372</v>
      </c>
      <c r="K46" s="45">
        <f t="shared" ca="1" si="7"/>
        <v>1566.2530965405333</v>
      </c>
      <c r="L46" s="45">
        <f t="shared" ca="1" si="7"/>
        <v>1429.6365007230272</v>
      </c>
      <c r="M46" s="45">
        <f t="shared" ca="1" si="7"/>
        <v>1285.7554414332783</v>
      </c>
    </row>
    <row r="47" spans="2:13" x14ac:dyDescent="0.2">
      <c r="B47" s="16" t="s">
        <v>53</v>
      </c>
      <c r="C47" s="18">
        <f>C42-C46</f>
        <v>16978</v>
      </c>
      <c r="D47" s="18">
        <f>D42-D46</f>
        <v>21737</v>
      </c>
      <c r="E47" s="18">
        <f>E42-E46</f>
        <v>22477</v>
      </c>
      <c r="F47" s="18">
        <f>F42-F46</f>
        <v>19924</v>
      </c>
      <c r="G47" s="18">
        <f t="shared" ref="G47:M47" ca="1" si="8">G42-G46</f>
        <v>20006.974602926202</v>
      </c>
      <c r="H47" s="18">
        <f t="shared" ca="1" si="8"/>
        <v>20704.851958930809</v>
      </c>
      <c r="I47" s="18">
        <f t="shared" ca="1" si="8"/>
        <v>21524.421259693401</v>
      </c>
      <c r="J47" s="18">
        <f t="shared" ca="1" si="8"/>
        <v>22574.646133034235</v>
      </c>
      <c r="K47" s="18">
        <f t="shared" ca="1" si="8"/>
        <v>23614.705690316488</v>
      </c>
      <c r="L47" s="18">
        <f t="shared" ca="1" si="8"/>
        <v>24603.423185096442</v>
      </c>
      <c r="M47" s="18">
        <f t="shared" ca="1" si="8"/>
        <v>25563.049800901128</v>
      </c>
    </row>
    <row r="48" spans="2:13" x14ac:dyDescent="0.2">
      <c r="B48" s="7" t="s">
        <v>57</v>
      </c>
      <c r="C48" s="11">
        <v>4112</v>
      </c>
      <c r="D48" s="11">
        <v>5304</v>
      </c>
      <c r="E48" s="11">
        <v>5372</v>
      </c>
      <c r="F48" s="11">
        <v>4781</v>
      </c>
      <c r="G48" s="52">
        <f ca="1">'Annual Model'!G23</f>
        <v>4800.4643520981463</v>
      </c>
      <c r="H48" s="52">
        <f ca="1">'Annual Model'!H23</f>
        <v>4948.8600436771248</v>
      </c>
      <c r="I48" s="52">
        <f ca="1">'Annual Model'!I23</f>
        <v>5157.4451413675561</v>
      </c>
      <c r="J48" s="52">
        <f ca="1">'Annual Model'!J23</f>
        <v>5388.3447252101978</v>
      </c>
      <c r="K48" s="52">
        <f ca="1">'Annual Model'!K23</f>
        <v>5608.3383672179134</v>
      </c>
      <c r="L48" s="52">
        <f ca="1">'Annual Model'!L23</f>
        <v>5820.922484790055</v>
      </c>
      <c r="M48" s="52">
        <f ca="1">'Annual Model'!M23</f>
        <v>6025.0208914074965</v>
      </c>
    </row>
    <row r="49" spans="2:13" x14ac:dyDescent="0.2">
      <c r="B49" s="7" t="s">
        <v>56</v>
      </c>
      <c r="C49" s="12">
        <f>C48/C47</f>
        <v>0.24219578277771234</v>
      </c>
      <c r="D49" s="12">
        <f>D48/D47</f>
        <v>0.244007912775452</v>
      </c>
      <c r="E49" s="12">
        <f>E48/E47</f>
        <v>0.23899986653023089</v>
      </c>
      <c r="F49" s="12">
        <f>F48/F47</f>
        <v>0.23996185504918691</v>
      </c>
      <c r="G49" s="12">
        <f>'Annual Model'!G24</f>
        <v>0.24</v>
      </c>
      <c r="H49" s="12">
        <f>'Annual Model'!H24</f>
        <v>0.24</v>
      </c>
      <c r="I49" s="12">
        <f>'Annual Model'!I24</f>
        <v>0.24</v>
      </c>
      <c r="J49" s="12">
        <f>'Annual Model'!J24</f>
        <v>0.24</v>
      </c>
      <c r="K49" s="12">
        <f>'Annual Model'!K24</f>
        <v>0.24</v>
      </c>
      <c r="L49" s="12">
        <f>'Annual Model'!L24</f>
        <v>0.24</v>
      </c>
      <c r="M49" s="12">
        <f>'Annual Model'!M24</f>
        <v>0.24</v>
      </c>
    </row>
    <row r="50" spans="2:13" x14ac:dyDescent="0.2">
      <c r="B50" s="16" t="s">
        <v>58</v>
      </c>
      <c r="C50" s="18">
        <f>C47-C48</f>
        <v>12866</v>
      </c>
      <c r="D50" s="18">
        <f>D47-D48</f>
        <v>16433</v>
      </c>
      <c r="E50" s="18">
        <f>E47-E48</f>
        <v>17105</v>
      </c>
      <c r="F50" s="18">
        <f>F47-F48</f>
        <v>15143</v>
      </c>
      <c r="G50" s="18">
        <f t="shared" ref="G50:M50" ca="1" si="9">G47-G48</f>
        <v>15206.510250828056</v>
      </c>
      <c r="H50" s="18">
        <f t="shared" ca="1" si="9"/>
        <v>15755.991915253684</v>
      </c>
      <c r="I50" s="18">
        <f t="shared" ca="1" si="9"/>
        <v>16366.976118325845</v>
      </c>
      <c r="J50" s="18">
        <f t="shared" ca="1" si="9"/>
        <v>17186.301407824038</v>
      </c>
      <c r="K50" s="18">
        <f t="shared" ca="1" si="9"/>
        <v>18006.367323098573</v>
      </c>
      <c r="L50" s="18">
        <f t="shared" ca="1" si="9"/>
        <v>18782.500700306387</v>
      </c>
      <c r="M50" s="18">
        <f t="shared" ca="1" si="9"/>
        <v>19538.028909493631</v>
      </c>
    </row>
    <row r="51" spans="2:13" ht="15" x14ac:dyDescent="0.25">
      <c r="B51" s="2" t="s">
        <v>64</v>
      </c>
      <c r="C51"/>
      <c r="D51"/>
      <c r="E51"/>
      <c r="F51"/>
      <c r="G51"/>
      <c r="H51"/>
      <c r="I51"/>
      <c r="J51"/>
      <c r="K51"/>
      <c r="L51"/>
      <c r="M51"/>
    </row>
    <row r="52" spans="2:13" x14ac:dyDescent="0.2">
      <c r="B52" s="7" t="s">
        <v>61</v>
      </c>
      <c r="C52" s="49">
        <v>11.98</v>
      </c>
      <c r="D52" s="49">
        <v>15.59</v>
      </c>
      <c r="E52" s="49">
        <v>16.739999999999998</v>
      </c>
      <c r="F52" s="49">
        <v>15.16</v>
      </c>
      <c r="G52" s="59">
        <f ca="1">G50/G55</f>
        <v>15.282924875204076</v>
      </c>
      <c r="H52" s="59">
        <f ca="1">H50/H55</f>
        <v>15.883056366183149</v>
      </c>
      <c r="I52" s="59">
        <f t="shared" ref="I52:M52" ca="1" si="10">I50/I55</f>
        <v>16.532299109420045</v>
      </c>
      <c r="J52" s="59">
        <f t="shared" ca="1" si="10"/>
        <v>17.395041910753076</v>
      </c>
      <c r="K52" s="59">
        <f t="shared" ca="1" si="10"/>
        <v>18.262035824643583</v>
      </c>
      <c r="L52" s="59">
        <f t="shared" ca="1" si="10"/>
        <v>19.049189351223518</v>
      </c>
      <c r="M52" s="59">
        <f t="shared" ca="1" si="10"/>
        <v>19.855720436477267</v>
      </c>
    </row>
    <row r="53" spans="2:13" x14ac:dyDescent="0.2">
      <c r="B53" s="7" t="s">
        <v>62</v>
      </c>
      <c r="C53" s="49">
        <v>11.94</v>
      </c>
      <c r="D53" s="49">
        <v>15.53</v>
      </c>
      <c r="E53" s="49">
        <v>16.690000000000001</v>
      </c>
      <c r="F53" s="49">
        <v>15.11</v>
      </c>
      <c r="G53" s="59">
        <f ca="1">G50/G56</f>
        <v>15.252267051984008</v>
      </c>
      <c r="H53" s="59">
        <f t="shared" ref="H53:M53" ca="1" si="11">H50/H56</f>
        <v>15.835167754023804</v>
      </c>
      <c r="I53" s="59">
        <f t="shared" ca="1" si="11"/>
        <v>16.498967861215569</v>
      </c>
      <c r="J53" s="59">
        <f ca="1">J50/J56</f>
        <v>17.359900411943471</v>
      </c>
      <c r="K53" s="59">
        <f t="shared" ca="1" si="11"/>
        <v>18.225068140788029</v>
      </c>
      <c r="L53" s="59">
        <f t="shared" ca="1" si="11"/>
        <v>19.010628239176505</v>
      </c>
      <c r="M53" s="59">
        <f t="shared" ca="1" si="11"/>
        <v>19.815445141474271</v>
      </c>
    </row>
    <row r="54" spans="2:13" ht="15" x14ac:dyDescent="0.25">
      <c r="B54" s="2" t="s">
        <v>65</v>
      </c>
      <c r="C54"/>
      <c r="D54"/>
      <c r="E54"/>
      <c r="F54"/>
      <c r="G54"/>
      <c r="H54"/>
      <c r="I54"/>
      <c r="J54"/>
      <c r="K54"/>
      <c r="L54"/>
      <c r="M54"/>
    </row>
    <row r="55" spans="2:13" x14ac:dyDescent="0.2">
      <c r="B55" s="7" t="s">
        <v>59</v>
      </c>
      <c r="C55" s="11">
        <v>1074</v>
      </c>
      <c r="D55" s="11">
        <v>1054</v>
      </c>
      <c r="E55" s="11">
        <v>1022</v>
      </c>
      <c r="F55" s="11">
        <v>999</v>
      </c>
      <c r="G55" s="52">
        <f>'Annual Model'!G30</f>
        <v>995</v>
      </c>
      <c r="H55" s="52">
        <f>'Annual Model'!H30</f>
        <v>992</v>
      </c>
      <c r="I55" s="52">
        <f>'Annual Model'!I30</f>
        <v>990</v>
      </c>
      <c r="J55" s="52">
        <f>'Annual Model'!J30</f>
        <v>988</v>
      </c>
      <c r="K55" s="52">
        <f>'Annual Model'!K30</f>
        <v>986</v>
      </c>
      <c r="L55" s="52">
        <f>'Annual Model'!L30</f>
        <v>986</v>
      </c>
      <c r="M55" s="52">
        <f>'Annual Model'!M30</f>
        <v>984</v>
      </c>
    </row>
    <row r="56" spans="2:13" x14ac:dyDescent="0.2">
      <c r="B56" s="7" t="s">
        <v>60</v>
      </c>
      <c r="C56" s="11">
        <v>1078</v>
      </c>
      <c r="D56" s="11">
        <v>1058</v>
      </c>
      <c r="E56" s="11">
        <v>1025</v>
      </c>
      <c r="F56" s="11">
        <v>1002</v>
      </c>
      <c r="G56" s="52">
        <f>'Annual Model'!G31</f>
        <v>997</v>
      </c>
      <c r="H56" s="52">
        <f>'Annual Model'!H31</f>
        <v>995</v>
      </c>
      <c r="I56" s="52">
        <f>'Annual Model'!I31</f>
        <v>992</v>
      </c>
      <c r="J56" s="52">
        <f>'Annual Model'!J31</f>
        <v>990</v>
      </c>
      <c r="K56" s="52">
        <f>'Annual Model'!K31</f>
        <v>988</v>
      </c>
      <c r="L56" s="52">
        <f>'Annual Model'!L31</f>
        <v>988</v>
      </c>
      <c r="M56" s="52">
        <f>'Annual Model'!M31</f>
        <v>986</v>
      </c>
    </row>
  </sheetData>
  <mergeCells count="2">
    <mergeCell ref="C4:F4"/>
    <mergeCell ref="G4:M4"/>
  </mergeCells>
  <dataValidations count="1">
    <dataValidation type="list" allowBlank="1" showInputMessage="1" showErrorMessage="1" sqref="C8" xr:uid="{81A98B8F-F2DD-43AE-88F0-64514DCCCD4D}">
      <formula1>"1,2,3"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1C80-A9A1-424E-8B66-FBF640A0CE66}">
  <dimension ref="B1:R275"/>
  <sheetViews>
    <sheetView showGridLines="0" tabSelected="1" zoomScale="115" zoomScaleNormal="115" workbookViewId="0">
      <pane xSplit="2" ySplit="6" topLeftCell="C236" activePane="bottomRight" state="frozen"/>
      <selection pane="topRight" activeCell="C1" sqref="C1"/>
      <selection pane="bottomLeft" activeCell="A7" sqref="A7"/>
      <selection pane="bottomRight" activeCell="K279" sqref="K279"/>
    </sheetView>
  </sheetViews>
  <sheetFormatPr defaultRowHeight="15" x14ac:dyDescent="0.25"/>
  <cols>
    <col min="1" max="1" width="2.28515625" customWidth="1"/>
    <col min="2" max="2" width="51.7109375" customWidth="1"/>
  </cols>
  <sheetData>
    <row r="1" spans="2:13" ht="20.25" x14ac:dyDescent="0.3">
      <c r="B1" s="14" t="s">
        <v>0</v>
      </c>
    </row>
    <row r="2" spans="2:13" x14ac:dyDescent="0.25">
      <c r="B2" s="1" t="s">
        <v>156</v>
      </c>
    </row>
    <row r="3" spans="2:13" x14ac:dyDescent="0.25">
      <c r="B3" s="3" t="s">
        <v>1</v>
      </c>
    </row>
    <row r="4" spans="2:13" x14ac:dyDescent="0.25">
      <c r="B4" s="2"/>
    </row>
    <row r="5" spans="2:13" x14ac:dyDescent="0.25">
      <c r="B5" s="2" t="s">
        <v>3</v>
      </c>
      <c r="C5" s="4">
        <f>DATE(2021,1,31)</f>
        <v>44227</v>
      </c>
      <c r="D5" s="4">
        <f>DATE(2022,1,30)</f>
        <v>44591</v>
      </c>
      <c r="E5" s="4">
        <f>DATE(2022,1,29)</f>
        <v>44590</v>
      </c>
      <c r="F5" s="4">
        <f>DATE(2024,1,28)</f>
        <v>45319</v>
      </c>
      <c r="G5" s="4"/>
      <c r="H5" s="4"/>
      <c r="I5" s="4"/>
      <c r="J5" s="4"/>
      <c r="K5" s="4"/>
      <c r="L5" s="4"/>
      <c r="M5" s="4"/>
    </row>
    <row r="6" spans="2:13" x14ac:dyDescent="0.25">
      <c r="B6" s="2" t="s">
        <v>63</v>
      </c>
      <c r="C6" s="30" t="s">
        <v>158</v>
      </c>
      <c r="D6" s="15" t="s">
        <v>159</v>
      </c>
      <c r="E6" s="15" t="s">
        <v>160</v>
      </c>
      <c r="F6" s="15" t="s">
        <v>334</v>
      </c>
      <c r="G6" s="15" t="s">
        <v>33</v>
      </c>
      <c r="H6" s="15" t="s">
        <v>38</v>
      </c>
      <c r="I6" s="15" t="s">
        <v>39</v>
      </c>
      <c r="J6" s="15" t="s">
        <v>40</v>
      </c>
      <c r="K6" s="15" t="s">
        <v>41</v>
      </c>
      <c r="L6" s="15" t="s">
        <v>42</v>
      </c>
      <c r="M6" s="15" t="s">
        <v>333</v>
      </c>
    </row>
    <row r="8" spans="2:13" x14ac:dyDescent="0.25">
      <c r="C8" s="149" t="s">
        <v>154</v>
      </c>
      <c r="D8" s="149"/>
      <c r="E8" s="149"/>
      <c r="F8" s="149"/>
      <c r="G8" s="149" t="s">
        <v>155</v>
      </c>
      <c r="H8" s="149"/>
      <c r="I8" s="149"/>
      <c r="J8" s="149"/>
      <c r="K8" s="149"/>
      <c r="L8" s="149"/>
      <c r="M8" s="149"/>
    </row>
    <row r="9" spans="2:13" x14ac:dyDescent="0.25">
      <c r="B9" s="5" t="s">
        <v>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2:13" x14ac:dyDescent="0.25">
      <c r="B10" s="16" t="s">
        <v>43</v>
      </c>
      <c r="C10" s="17">
        <v>132110</v>
      </c>
      <c r="D10" s="17">
        <v>151157</v>
      </c>
      <c r="E10" s="17">
        <v>157403</v>
      </c>
      <c r="F10" s="17">
        <v>152669</v>
      </c>
      <c r="G10" s="18">
        <f>F10*(1+Assumptions!G10)</f>
        <v>154195.69</v>
      </c>
      <c r="H10" s="18">
        <f>G10*(1+Assumptions!H10)</f>
        <v>158821.5607</v>
      </c>
      <c r="I10" s="18">
        <f>H10*(1+Assumptions!I10)</f>
        <v>165174.42312799999</v>
      </c>
      <c r="J10" s="18">
        <f>I10*(1+Assumptions!J10)</f>
        <v>172276.92332250398</v>
      </c>
      <c r="K10" s="18">
        <f>J10*(1+Assumptions!K10)</f>
        <v>179168.00025540416</v>
      </c>
      <c r="L10" s="18">
        <f>K10*(1+Assumptions!L10)</f>
        <v>185886.80026498184</v>
      </c>
      <c r="M10" s="18">
        <f>L10*(1+Assumptions!M10)</f>
        <v>192392.83827425618</v>
      </c>
    </row>
    <row r="11" spans="2:13" x14ac:dyDescent="0.25">
      <c r="B11" s="7" t="s">
        <v>66</v>
      </c>
      <c r="C11" s="11">
        <v>87257</v>
      </c>
      <c r="D11" s="11">
        <v>100325</v>
      </c>
      <c r="E11" s="11">
        <v>104625</v>
      </c>
      <c r="F11" s="11">
        <v>101709</v>
      </c>
      <c r="G11" s="45">
        <f>G10*Assumptions!G11</f>
        <v>102848.52523000001</v>
      </c>
      <c r="H11" s="45">
        <f>H10*Assumptions!H11</f>
        <v>106092.8025476</v>
      </c>
      <c r="I11" s="45">
        <f>I10*Assumptions!I11</f>
        <v>110501.689072632</v>
      </c>
      <c r="J11" s="45">
        <f>J10*Assumptions!J11</f>
        <v>115425.53862607767</v>
      </c>
      <c r="K11" s="45">
        <f>K10*Assumptions!K11</f>
        <v>120221.72817137619</v>
      </c>
      <c r="L11" s="45">
        <f>L10*Assumptions!L11</f>
        <v>124915.9297780678</v>
      </c>
      <c r="M11" s="45">
        <f>M10*Assumptions!M11</f>
        <v>129480.38015857442</v>
      </c>
    </row>
    <row r="12" spans="2:13" x14ac:dyDescent="0.25">
      <c r="B12" s="16" t="s">
        <v>44</v>
      </c>
      <c r="C12" s="18">
        <f>C10-C11</f>
        <v>44853</v>
      </c>
      <c r="D12" s="18">
        <f>D10-D11</f>
        <v>50832</v>
      </c>
      <c r="E12" s="18">
        <f>E10-E11</f>
        <v>52778</v>
      </c>
      <c r="F12" s="18">
        <f>F10-F11</f>
        <v>50960</v>
      </c>
      <c r="G12" s="18">
        <f t="shared" ref="G12:M12" si="0">G10-G11</f>
        <v>51347.164769999988</v>
      </c>
      <c r="H12" s="18">
        <f t="shared" si="0"/>
        <v>52728.758152399998</v>
      </c>
      <c r="I12" s="18">
        <f t="shared" si="0"/>
        <v>54672.734055367997</v>
      </c>
      <c r="J12" s="18">
        <f t="shared" si="0"/>
        <v>56851.384696426307</v>
      </c>
      <c r="K12" s="18">
        <f t="shared" si="0"/>
        <v>58946.272084027965</v>
      </c>
      <c r="L12" s="18">
        <f t="shared" si="0"/>
        <v>60970.870486914035</v>
      </c>
      <c r="M12" s="18">
        <f t="shared" si="0"/>
        <v>62912.458115681758</v>
      </c>
    </row>
    <row r="13" spans="2:13" x14ac:dyDescent="0.25">
      <c r="B13" s="2" t="s">
        <v>45</v>
      </c>
    </row>
    <row r="14" spans="2:13" x14ac:dyDescent="0.25">
      <c r="B14" s="7" t="s">
        <v>46</v>
      </c>
      <c r="C14" s="11">
        <v>24447</v>
      </c>
      <c r="D14" s="11">
        <v>25406</v>
      </c>
      <c r="E14" s="11">
        <v>26284</v>
      </c>
      <c r="F14" s="11">
        <v>26598</v>
      </c>
      <c r="G14" s="45">
        <f>G10*Assumptions!G12</f>
        <v>26765.776021450147</v>
      </c>
      <c r="H14" s="45">
        <f>H10*Assumptions!H12</f>
        <v>27568.749302093653</v>
      </c>
      <c r="I14" s="45">
        <f>I10*Assumptions!I12</f>
        <v>28671.499274177397</v>
      </c>
      <c r="J14" s="45">
        <f>J10*Assumptions!J12</f>
        <v>29904.373742967022</v>
      </c>
      <c r="K14" s="45">
        <f>K10*Assumptions!K12</f>
        <v>31100.548692685705</v>
      </c>
      <c r="L14" s="45">
        <f>L10*Assumptions!L12</f>
        <v>32266.819268661424</v>
      </c>
      <c r="M14" s="45">
        <f>M10*Assumptions!M12</f>
        <v>33396.157943064572</v>
      </c>
    </row>
    <row r="15" spans="2:13" x14ac:dyDescent="0.25">
      <c r="B15" s="16" t="s">
        <v>48</v>
      </c>
      <c r="C15" s="18">
        <f>C17+C16</f>
        <v>20406</v>
      </c>
      <c r="D15" s="18">
        <f>D17+D16</f>
        <v>25426</v>
      </c>
      <c r="E15" s="18">
        <f>E17+E16</f>
        <v>26494</v>
      </c>
      <c r="F15" s="18">
        <f>F17+F16</f>
        <v>24362</v>
      </c>
      <c r="G15" s="18">
        <f t="shared" ref="G15:M15" si="1">G17+G16</f>
        <v>24581.388748549842</v>
      </c>
      <c r="H15" s="18">
        <f t="shared" si="1"/>
        <v>25160.008850306345</v>
      </c>
      <c r="I15" s="18">
        <f t="shared" si="1"/>
        <v>26001.2347811906</v>
      </c>
      <c r="J15" s="18">
        <f t="shared" si="1"/>
        <v>26947.010953459285</v>
      </c>
      <c r="K15" s="18">
        <f t="shared" si="1"/>
        <v>27845.723391342261</v>
      </c>
      <c r="L15" s="18">
        <f t="shared" si="1"/>
        <v>28704.051218252611</v>
      </c>
      <c r="M15" s="18">
        <f t="shared" si="1"/>
        <v>29516.300172617186</v>
      </c>
    </row>
    <row r="16" spans="2:13" x14ac:dyDescent="0.25">
      <c r="B16" s="7" t="s">
        <v>54</v>
      </c>
      <c r="C16" s="11">
        <v>2128</v>
      </c>
      <c r="D16" s="11">
        <v>2386</v>
      </c>
      <c r="E16" s="11">
        <v>2455</v>
      </c>
      <c r="F16" s="11">
        <v>2673</v>
      </c>
      <c r="G16" s="52">
        <f>Assumptions!G13*'Annual Model'!G10</f>
        <v>2505.6057430671144</v>
      </c>
      <c r="H16" s="52">
        <f>Assumptions!H13*'Annual Model'!H10</f>
        <v>2580.7739153591278</v>
      </c>
      <c r="I16" s="52">
        <f>Assumptions!I13*'Annual Model'!I10</f>
        <v>2684.0048719734928</v>
      </c>
      <c r="J16" s="52">
        <f>Assumptions!J13*'Annual Model'!J10</f>
        <v>2799.4170814683525</v>
      </c>
      <c r="K16" s="52">
        <f>Assumptions!K13*'Annual Model'!K10</f>
        <v>2911.3937647270873</v>
      </c>
      <c r="L16" s="52">
        <f>Assumptions!L13*'Annual Model'!L10</f>
        <v>3020.5710309043534</v>
      </c>
      <c r="M16" s="52">
        <f>Assumptions!M13*'Annual Model'!M10</f>
        <v>3126.2910169860052</v>
      </c>
    </row>
    <row r="17" spans="2:13" x14ac:dyDescent="0.25">
      <c r="B17" s="16" t="s">
        <v>47</v>
      </c>
      <c r="C17" s="18">
        <f>C12-C14-C16</f>
        <v>18278</v>
      </c>
      <c r="D17" s="18">
        <f>D12-D14-D16</f>
        <v>23040</v>
      </c>
      <c r="E17" s="18">
        <f>E12-E14-E16</f>
        <v>24039</v>
      </c>
      <c r="F17" s="18">
        <f>F12-F14-F16</f>
        <v>21689</v>
      </c>
      <c r="G17" s="18">
        <f t="shared" ref="G17:M17" si="2">G12-G14-G16</f>
        <v>22075.783005482728</v>
      </c>
      <c r="H17" s="18">
        <f>H12-H14-H16</f>
        <v>22579.234934947217</v>
      </c>
      <c r="I17" s="18">
        <f t="shared" si="2"/>
        <v>23317.229909217109</v>
      </c>
      <c r="J17" s="18">
        <f t="shared" si="2"/>
        <v>24147.593871990932</v>
      </c>
      <c r="K17" s="18">
        <f t="shared" si="2"/>
        <v>24934.329626615174</v>
      </c>
      <c r="L17" s="18">
        <f t="shared" si="2"/>
        <v>25683.480187348257</v>
      </c>
      <c r="M17" s="18">
        <f t="shared" si="2"/>
        <v>26390.009155631182</v>
      </c>
    </row>
    <row r="18" spans="2:13" x14ac:dyDescent="0.25">
      <c r="B18" s="2" t="s">
        <v>49</v>
      </c>
    </row>
    <row r="19" spans="2:13" x14ac:dyDescent="0.25">
      <c r="B19" s="7" t="s">
        <v>50</v>
      </c>
      <c r="C19" s="11">
        <v>-47</v>
      </c>
      <c r="D19" s="11">
        <v>-44</v>
      </c>
      <c r="E19" s="11">
        <v>-55</v>
      </c>
      <c r="F19" s="11">
        <v>-178</v>
      </c>
      <c r="G19" s="52">
        <f ca="1">-G274</f>
        <v>-58.881794926217374</v>
      </c>
      <c r="H19" s="52">
        <f t="shared" ref="H19:M19" ca="1" si="3">-H274</f>
        <v>-100.59524704080356</v>
      </c>
      <c r="I19" s="52">
        <f t="shared" ca="1" si="3"/>
        <v>-121.50484648103964</v>
      </c>
      <c r="J19" s="52">
        <f t="shared" ca="1" si="3"/>
        <v>-147.77248305156289</v>
      </c>
      <c r="K19" s="52">
        <f t="shared" ca="1" si="3"/>
        <v>-182.67690345946679</v>
      </c>
      <c r="L19" s="52">
        <f t="shared" ca="1" si="3"/>
        <v>-224.29349927697288</v>
      </c>
      <c r="M19" s="52">
        <f t="shared" ca="1" si="3"/>
        <v>-273.17455856672177</v>
      </c>
    </row>
    <row r="20" spans="2:13" x14ac:dyDescent="0.25">
      <c r="B20" s="7" t="s">
        <v>51</v>
      </c>
      <c r="C20" s="11">
        <v>1347</v>
      </c>
      <c r="D20" s="11">
        <v>1347</v>
      </c>
      <c r="E20" s="11">
        <v>1617</v>
      </c>
      <c r="F20" s="11">
        <v>1943</v>
      </c>
      <c r="G20" s="52">
        <f>G272</f>
        <v>2132.73</v>
      </c>
      <c r="H20" s="52">
        <f t="shared" ref="H20:M20" si="4">H272</f>
        <v>2059.58</v>
      </c>
      <c r="I20" s="52">
        <f t="shared" si="4"/>
        <v>1949.38</v>
      </c>
      <c r="J20" s="52">
        <f t="shared" si="4"/>
        <v>1843.93</v>
      </c>
      <c r="K20" s="52">
        <f t="shared" si="4"/>
        <v>1748.93</v>
      </c>
      <c r="L20" s="52">
        <f t="shared" si="4"/>
        <v>1653.93</v>
      </c>
      <c r="M20" s="52">
        <f t="shared" si="4"/>
        <v>1558.93</v>
      </c>
    </row>
    <row r="21" spans="2:13" x14ac:dyDescent="0.25">
      <c r="B21" s="7" t="s">
        <v>52</v>
      </c>
      <c r="C21" s="45">
        <f>SUM(C19:C20)</f>
        <v>1300</v>
      </c>
      <c r="D21" s="45">
        <f>SUM(D19:D20)</f>
        <v>1303</v>
      </c>
      <c r="E21" s="45">
        <f>SUM(E19:E20)</f>
        <v>1562</v>
      </c>
      <c r="F21" s="45">
        <f>SUM(F19:F20)</f>
        <v>1765</v>
      </c>
      <c r="G21" s="45">
        <f t="shared" ref="G21:M21" ca="1" si="5">SUM(G19:G20)</f>
        <v>2073.8482050737825</v>
      </c>
      <c r="H21" s="45">
        <f t="shared" ca="1" si="5"/>
        <v>1958.9847529591964</v>
      </c>
      <c r="I21" s="45">
        <f t="shared" ca="1" si="5"/>
        <v>1827.8751535189604</v>
      </c>
      <c r="J21" s="45">
        <f t="shared" ca="1" si="5"/>
        <v>1696.1575169484372</v>
      </c>
      <c r="K21" s="45">
        <f t="shared" ca="1" si="5"/>
        <v>1566.2530965405333</v>
      </c>
      <c r="L21" s="45">
        <f t="shared" ca="1" si="5"/>
        <v>1429.6365007230272</v>
      </c>
      <c r="M21" s="45">
        <f t="shared" ca="1" si="5"/>
        <v>1285.7554414332783</v>
      </c>
    </row>
    <row r="22" spans="2:13" x14ac:dyDescent="0.25">
      <c r="B22" s="16" t="s">
        <v>53</v>
      </c>
      <c r="C22" s="18">
        <f>C17-C21</f>
        <v>16978</v>
      </c>
      <c r="D22" s="18">
        <f>D17-D21</f>
        <v>21737</v>
      </c>
      <c r="E22" s="18">
        <f>E17-E21</f>
        <v>22477</v>
      </c>
      <c r="F22" s="18">
        <f>F17-F21</f>
        <v>19924</v>
      </c>
      <c r="G22" s="18">
        <f t="shared" ref="G22:M22" ca="1" si="6">G17-G21</f>
        <v>20001.934800408944</v>
      </c>
      <c r="H22" s="18">
        <f t="shared" ca="1" si="6"/>
        <v>20620.25018198802</v>
      </c>
      <c r="I22" s="18">
        <f t="shared" ca="1" si="6"/>
        <v>21489.35475569815</v>
      </c>
      <c r="J22" s="18">
        <f t="shared" ca="1" si="6"/>
        <v>22451.436355042493</v>
      </c>
      <c r="K22" s="18">
        <f t="shared" ca="1" si="6"/>
        <v>23368.076530074639</v>
      </c>
      <c r="L22" s="18">
        <f t="shared" ca="1" si="6"/>
        <v>24253.84368662523</v>
      </c>
      <c r="M22" s="18">
        <f t="shared" ca="1" si="6"/>
        <v>25104.253714197905</v>
      </c>
    </row>
    <row r="23" spans="2:13" x14ac:dyDescent="0.25">
      <c r="B23" s="7" t="s">
        <v>57</v>
      </c>
      <c r="C23" s="11">
        <v>4112</v>
      </c>
      <c r="D23" s="11">
        <v>5304</v>
      </c>
      <c r="E23" s="11">
        <v>5372</v>
      </c>
      <c r="F23" s="11">
        <v>4781</v>
      </c>
      <c r="G23" s="52">
        <f ca="1">G24*G22</f>
        <v>4800.4643520981463</v>
      </c>
      <c r="H23" s="52">
        <f t="shared" ref="H23:M23" ca="1" si="7">H24*H22</f>
        <v>4948.8600436771248</v>
      </c>
      <c r="I23" s="52">
        <f t="shared" ca="1" si="7"/>
        <v>5157.4451413675561</v>
      </c>
      <c r="J23" s="52">
        <f t="shared" ca="1" si="7"/>
        <v>5388.3447252101978</v>
      </c>
      <c r="K23" s="52">
        <f t="shared" ca="1" si="7"/>
        <v>5608.3383672179134</v>
      </c>
      <c r="L23" s="52">
        <f t="shared" ca="1" si="7"/>
        <v>5820.922484790055</v>
      </c>
      <c r="M23" s="52">
        <f t="shared" ca="1" si="7"/>
        <v>6025.0208914074965</v>
      </c>
    </row>
    <row r="24" spans="2:13" x14ac:dyDescent="0.25">
      <c r="B24" s="7" t="s">
        <v>56</v>
      </c>
      <c r="C24" s="12">
        <f>C23/C22</f>
        <v>0.24219578277771234</v>
      </c>
      <c r="D24" s="12">
        <f>D23/D22</f>
        <v>0.244007912775452</v>
      </c>
      <c r="E24" s="12">
        <f>E23/E22</f>
        <v>0.23899986653023089</v>
      </c>
      <c r="F24" s="12">
        <f>F23/F22</f>
        <v>0.23996185504918691</v>
      </c>
      <c r="G24" s="12">
        <f>Assumptions!G14</f>
        <v>0.24</v>
      </c>
      <c r="H24" s="12">
        <f>Assumptions!H14</f>
        <v>0.24</v>
      </c>
      <c r="I24" s="12">
        <f>Assumptions!I14</f>
        <v>0.24</v>
      </c>
      <c r="J24" s="12">
        <f>Assumptions!J14</f>
        <v>0.24</v>
      </c>
      <c r="K24" s="12">
        <f>Assumptions!K14</f>
        <v>0.24</v>
      </c>
      <c r="L24" s="12">
        <f>Assumptions!L14</f>
        <v>0.24</v>
      </c>
      <c r="M24" s="12">
        <f>Assumptions!M14</f>
        <v>0.24</v>
      </c>
    </row>
    <row r="25" spans="2:13" x14ac:dyDescent="0.25">
      <c r="B25" s="16" t="s">
        <v>58</v>
      </c>
      <c r="C25" s="18">
        <f>C22-C23</f>
        <v>12866</v>
      </c>
      <c r="D25" s="18">
        <f>D22-D23</f>
        <v>16433</v>
      </c>
      <c r="E25" s="18">
        <f>E22-E23</f>
        <v>17105</v>
      </c>
      <c r="F25" s="18">
        <f>F22-F23</f>
        <v>15143</v>
      </c>
      <c r="G25" s="18">
        <f t="shared" ref="G25:M25" ca="1" si="8">G22-G23</f>
        <v>15201.470448310798</v>
      </c>
      <c r="H25" s="18">
        <f t="shared" ca="1" si="8"/>
        <v>15671.390138310895</v>
      </c>
      <c r="I25" s="18">
        <f t="shared" ca="1" si="8"/>
        <v>16331.909614330594</v>
      </c>
      <c r="J25" s="18">
        <f t="shared" ca="1" si="8"/>
        <v>17063.091629832295</v>
      </c>
      <c r="K25" s="18">
        <f t="shared" ca="1" si="8"/>
        <v>17759.738162856724</v>
      </c>
      <c r="L25" s="18">
        <f t="shared" ca="1" si="8"/>
        <v>18432.921201835175</v>
      </c>
      <c r="M25" s="18">
        <f t="shared" ca="1" si="8"/>
        <v>19079.232822790407</v>
      </c>
    </row>
    <row r="26" spans="2:13" x14ac:dyDescent="0.25">
      <c r="B26" s="2" t="s">
        <v>64</v>
      </c>
    </row>
    <row r="27" spans="2:13" x14ac:dyDescent="0.25">
      <c r="B27" s="7" t="s">
        <v>61</v>
      </c>
      <c r="C27" s="49">
        <v>11.98</v>
      </c>
      <c r="D27" s="49">
        <v>15.59</v>
      </c>
      <c r="E27" s="49">
        <v>16.739999999999998</v>
      </c>
      <c r="F27" s="49">
        <v>15.16</v>
      </c>
      <c r="G27" s="59">
        <f ca="1">G25/G30</f>
        <v>15.277859747046028</v>
      </c>
      <c r="H27" s="59">
        <f ca="1">H25/H30</f>
        <v>15.797772316845661</v>
      </c>
      <c r="I27" s="59">
        <f t="shared" ref="I27:M27" ca="1" si="9">I25/I30</f>
        <v>16.496878398313733</v>
      </c>
      <c r="J27" s="59">
        <f t="shared" ca="1" si="9"/>
        <v>17.270335657724996</v>
      </c>
      <c r="K27" s="59">
        <f t="shared" ca="1" si="9"/>
        <v>18.011904830483491</v>
      </c>
      <c r="L27" s="59">
        <f t="shared" ca="1" si="9"/>
        <v>18.694646249325736</v>
      </c>
      <c r="M27" s="59">
        <f t="shared" ca="1" si="9"/>
        <v>19.389464250803261</v>
      </c>
    </row>
    <row r="28" spans="2:13" x14ac:dyDescent="0.25">
      <c r="B28" s="7" t="s">
        <v>62</v>
      </c>
      <c r="C28" s="49">
        <v>11.94</v>
      </c>
      <c r="D28" s="49">
        <v>15.53</v>
      </c>
      <c r="E28" s="49">
        <v>16.690000000000001</v>
      </c>
      <c r="F28" s="49">
        <v>15.11</v>
      </c>
      <c r="G28" s="59">
        <f ca="1">G25/G31</f>
        <v>15.247212084564492</v>
      </c>
      <c r="H28" s="59">
        <f t="shared" ref="H28:M28" ca="1" si="10">H25/H31</f>
        <v>15.750140842523512</v>
      </c>
      <c r="I28" s="59">
        <f t="shared" ca="1" si="10"/>
        <v>16.463618562833261</v>
      </c>
      <c r="J28" s="59">
        <f ca="1">J25/J31</f>
        <v>17.235446090739693</v>
      </c>
      <c r="K28" s="59">
        <f t="shared" ca="1" si="10"/>
        <v>17.975443484672798</v>
      </c>
      <c r="L28" s="59">
        <f t="shared" ca="1" si="10"/>
        <v>18.656802835865562</v>
      </c>
      <c r="M28" s="59">
        <f t="shared" ca="1" si="10"/>
        <v>19.350134708712382</v>
      </c>
    </row>
    <row r="29" spans="2:13" x14ac:dyDescent="0.25">
      <c r="B29" s="2" t="s">
        <v>65</v>
      </c>
    </row>
    <row r="30" spans="2:13" x14ac:dyDescent="0.25">
      <c r="B30" s="7" t="s">
        <v>59</v>
      </c>
      <c r="C30" s="11">
        <v>1074</v>
      </c>
      <c r="D30" s="11">
        <v>1054</v>
      </c>
      <c r="E30" s="11">
        <v>1022</v>
      </c>
      <c r="F30" s="11">
        <v>999</v>
      </c>
      <c r="G30" s="52">
        <f>Assumptions!G15</f>
        <v>995</v>
      </c>
      <c r="H30" s="52">
        <f>Assumptions!H15</f>
        <v>992</v>
      </c>
      <c r="I30" s="52">
        <f>Assumptions!I15</f>
        <v>990</v>
      </c>
      <c r="J30" s="52">
        <f>Assumptions!J15</f>
        <v>988</v>
      </c>
      <c r="K30" s="52">
        <f>Assumptions!K15</f>
        <v>986</v>
      </c>
      <c r="L30" s="52">
        <f>Assumptions!L15</f>
        <v>986</v>
      </c>
      <c r="M30" s="52">
        <f>Assumptions!M15</f>
        <v>984</v>
      </c>
    </row>
    <row r="31" spans="2:13" x14ac:dyDescent="0.25">
      <c r="B31" s="7" t="s">
        <v>60</v>
      </c>
      <c r="C31" s="11">
        <v>1078</v>
      </c>
      <c r="D31" s="11">
        <v>1058</v>
      </c>
      <c r="E31" s="11">
        <v>1025</v>
      </c>
      <c r="F31" s="11">
        <v>1002</v>
      </c>
      <c r="G31" s="52">
        <f>Assumptions!G17</f>
        <v>997</v>
      </c>
      <c r="H31" s="52">
        <f>Assumptions!H17</f>
        <v>995</v>
      </c>
      <c r="I31" s="52">
        <f>Assumptions!I17</f>
        <v>992</v>
      </c>
      <c r="J31" s="52">
        <f>Assumptions!J17</f>
        <v>990</v>
      </c>
      <c r="K31" s="52">
        <f>Assumptions!K17</f>
        <v>988</v>
      </c>
      <c r="L31" s="52">
        <f>Assumptions!L17</f>
        <v>988</v>
      </c>
      <c r="M31" s="52">
        <f>Assumptions!M17</f>
        <v>986</v>
      </c>
    </row>
    <row r="32" spans="2:13" x14ac:dyDescent="0.25">
      <c r="B32" s="2"/>
    </row>
    <row r="33" spans="2:18" x14ac:dyDescent="0.25">
      <c r="B33" s="2"/>
    </row>
    <row r="34" spans="2:18" x14ac:dyDescent="0.25">
      <c r="B34" s="2"/>
    </row>
    <row r="35" spans="2:18" x14ac:dyDescent="0.25">
      <c r="B35" s="2"/>
    </row>
    <row r="36" spans="2:18" x14ac:dyDescent="0.25">
      <c r="B36" s="5" t="s">
        <v>67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2:18" x14ac:dyDescent="0.25">
      <c r="B37" s="16" t="s">
        <v>69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spans="2:18" x14ac:dyDescent="0.25">
      <c r="B38" s="2" t="s">
        <v>70</v>
      </c>
      <c r="C38" s="11">
        <v>2133</v>
      </c>
      <c r="D38" s="11">
        <v>7895</v>
      </c>
      <c r="E38" s="11">
        <v>2343</v>
      </c>
      <c r="F38" s="11">
        <v>2757</v>
      </c>
      <c r="G38" s="52">
        <f ca="1">F38+G128</f>
        <v>7919.3589852434743</v>
      </c>
      <c r="H38" s="52">
        <f t="shared" ref="H38:M38" ca="1" si="11">G38+H128</f>
        <v>7249.6904229172324</v>
      </c>
      <c r="I38" s="52">
        <f t="shared" ca="1" si="11"/>
        <v>6301.278873290692</v>
      </c>
      <c r="J38" s="52">
        <f t="shared" ca="1" si="11"/>
        <v>6953.2177370218851</v>
      </c>
      <c r="K38" s="52">
        <f t="shared" ca="1" si="11"/>
        <v>8282.1629548714664</v>
      </c>
      <c r="L38" s="52">
        <f t="shared" ca="1" si="11"/>
        <v>10276.5369005231</v>
      </c>
      <c r="M38" s="52">
        <f t="shared" ca="1" si="11"/>
        <v>13058.374812821243</v>
      </c>
      <c r="O38" s="51"/>
    </row>
    <row r="39" spans="2:18" x14ac:dyDescent="0.25">
      <c r="B39" s="2" t="s">
        <v>71</v>
      </c>
      <c r="C39" s="11">
        <v>2106</v>
      </c>
      <c r="D39" s="11">
        <v>2992</v>
      </c>
      <c r="E39" s="11">
        <v>3426</v>
      </c>
      <c r="F39" s="11">
        <v>3317</v>
      </c>
      <c r="G39" s="52">
        <f>F39-G97</f>
        <v>3404.9787983561646</v>
      </c>
      <c r="H39" s="52">
        <f t="shared" ref="H39:M39" si="12">G39-H97</f>
        <v>3507.1281623068494</v>
      </c>
      <c r="I39" s="52">
        <f t="shared" si="12"/>
        <v>3647.4132887991232</v>
      </c>
      <c r="J39" s="52">
        <f t="shared" si="12"/>
        <v>3804.2520602174855</v>
      </c>
      <c r="K39" s="52">
        <f t="shared" si="12"/>
        <v>3956.4221426261852</v>
      </c>
      <c r="L39" s="52">
        <f t="shared" si="12"/>
        <v>4104.7879729746674</v>
      </c>
      <c r="M39" s="52">
        <f t="shared" si="12"/>
        <v>4248.4555520287804</v>
      </c>
      <c r="O39" s="51"/>
      <c r="R39" s="51"/>
    </row>
    <row r="40" spans="2:18" x14ac:dyDescent="0.25">
      <c r="B40" s="2" t="s">
        <v>72</v>
      </c>
      <c r="C40" s="11">
        <v>14531</v>
      </c>
      <c r="D40" s="11">
        <v>16627</v>
      </c>
      <c r="E40" s="11">
        <v>22068</v>
      </c>
      <c r="F40" s="11">
        <v>24886</v>
      </c>
      <c r="G40" s="52">
        <f>F40-G98</f>
        <v>23740.03113613063</v>
      </c>
      <c r="H40" s="52">
        <f t="shared" ref="H40:M40" si="13">G40-H98</f>
        <v>24488.544149685753</v>
      </c>
      <c r="I40" s="52">
        <f t="shared" si="13"/>
        <v>25506.211792792456</v>
      </c>
      <c r="J40" s="52">
        <f t="shared" si="13"/>
        <v>26642.744189717927</v>
      </c>
      <c r="K40" s="52">
        <f t="shared" si="13"/>
        <v>27749.809858735462</v>
      </c>
      <c r="L40" s="52">
        <f t="shared" si="13"/>
        <v>28833.334476170443</v>
      </c>
      <c r="M40" s="52">
        <f t="shared" si="13"/>
        <v>29886.909666739437</v>
      </c>
      <c r="O40" s="51"/>
      <c r="R40" s="51"/>
    </row>
    <row r="41" spans="2:18" x14ac:dyDescent="0.25">
      <c r="B41" s="2" t="s">
        <v>73</v>
      </c>
      <c r="C41" s="11">
        <v>1040</v>
      </c>
      <c r="D41" s="11">
        <v>963</v>
      </c>
      <c r="E41" s="11">
        <v>1218</v>
      </c>
      <c r="F41" s="11">
        <v>1511</v>
      </c>
      <c r="G41" s="52">
        <f>F41-G94-G123</f>
        <v>1382.5</v>
      </c>
      <c r="H41" s="52">
        <f t="shared" ref="H41:M41" si="14">G41-H94-H123</f>
        <v>1254</v>
      </c>
      <c r="I41" s="52">
        <f t="shared" si="14"/>
        <v>1125.5</v>
      </c>
      <c r="J41" s="52">
        <f t="shared" si="14"/>
        <v>997</v>
      </c>
      <c r="K41" s="52">
        <f t="shared" si="14"/>
        <v>868.5</v>
      </c>
      <c r="L41" s="52">
        <f t="shared" si="14"/>
        <v>740</v>
      </c>
      <c r="M41" s="52">
        <f t="shared" si="14"/>
        <v>611.5</v>
      </c>
      <c r="O41" s="51"/>
      <c r="Q41" s="51"/>
    </row>
    <row r="42" spans="2:18" x14ac:dyDescent="0.25">
      <c r="B42" s="19" t="s">
        <v>74</v>
      </c>
      <c r="C42" s="20">
        <f>SUM(C38:C41)</f>
        <v>19810</v>
      </c>
      <c r="D42" s="20">
        <f>SUM(D38:D41)</f>
        <v>28477</v>
      </c>
      <c r="E42" s="20">
        <f>SUM(E38:E41)</f>
        <v>29055</v>
      </c>
      <c r="F42" s="20">
        <f>SUM(F38:F41)</f>
        <v>32471</v>
      </c>
      <c r="G42" s="20">
        <f ca="1">SUM(G38:G41)</f>
        <v>36446.868919730274</v>
      </c>
      <c r="H42" s="20">
        <f t="shared" ref="H42:M42" ca="1" si="15">SUM(H38:H41)</f>
        <v>36499.362734909839</v>
      </c>
      <c r="I42" s="20">
        <f t="shared" ca="1" si="15"/>
        <v>36580.403954882269</v>
      </c>
      <c r="J42" s="20">
        <f t="shared" ca="1" si="15"/>
        <v>38397.2139869573</v>
      </c>
      <c r="K42" s="20">
        <f t="shared" ca="1" si="15"/>
        <v>40856.894956233111</v>
      </c>
      <c r="L42" s="20">
        <f t="shared" ca="1" si="15"/>
        <v>43954.659349668211</v>
      </c>
      <c r="M42" s="20">
        <f t="shared" ca="1" si="15"/>
        <v>47805.240031589463</v>
      </c>
    </row>
    <row r="43" spans="2:18" x14ac:dyDescent="0.25">
      <c r="B43" s="2"/>
    </row>
    <row r="44" spans="2:18" x14ac:dyDescent="0.25">
      <c r="B44" s="2" t="s">
        <v>75</v>
      </c>
      <c r="C44" s="11">
        <v>22770</v>
      </c>
      <c r="D44" s="11">
        <v>24705</v>
      </c>
      <c r="E44" s="11">
        <v>25199</v>
      </c>
      <c r="F44" s="11">
        <v>25631</v>
      </c>
      <c r="G44" s="52">
        <f>F44-G108-G88-G109-G110</f>
        <v>25303.518110000001</v>
      </c>
      <c r="H44" s="52">
        <f t="shared" ref="H44:M44" si="16">G44-H108-H88-H109-H110</f>
        <v>24909.732073300002</v>
      </c>
      <c r="I44" s="52">
        <f t="shared" si="16"/>
        <v>24477.828862032002</v>
      </c>
      <c r="J44" s="52">
        <f t="shared" si="16"/>
        <v>24015.69873133158</v>
      </c>
      <c r="K44" s="52">
        <f t="shared" si="16"/>
        <v>23512.222139033755</v>
      </c>
      <c r="L44" s="52">
        <f t="shared" si="16"/>
        <v>22957.234746662503</v>
      </c>
      <c r="M44" s="52">
        <f t="shared" si="16"/>
        <v>22339.975276202484</v>
      </c>
      <c r="O44" s="51"/>
      <c r="Q44" s="51"/>
    </row>
    <row r="45" spans="2:18" x14ac:dyDescent="0.25">
      <c r="B45" s="2" t="s">
        <v>76</v>
      </c>
      <c r="C45" s="11">
        <v>5595</v>
      </c>
      <c r="D45" s="11">
        <v>5962</v>
      </c>
      <c r="E45" s="11">
        <v>5968</v>
      </c>
      <c r="F45" s="11">
        <v>6941</v>
      </c>
      <c r="G45" s="52">
        <f>Assumptions!G22</f>
        <v>6941</v>
      </c>
      <c r="H45" s="52">
        <f>Assumptions!H22</f>
        <v>6941</v>
      </c>
      <c r="I45" s="52">
        <f>Assumptions!I22</f>
        <v>6941</v>
      </c>
      <c r="J45" s="52">
        <f>Assumptions!J22</f>
        <v>6941</v>
      </c>
      <c r="K45" s="52">
        <f>Assumptions!K22</f>
        <v>6941</v>
      </c>
      <c r="L45" s="52">
        <f>Assumptions!L22</f>
        <v>6941</v>
      </c>
      <c r="M45" s="52">
        <f>Assumptions!M22</f>
        <v>6941</v>
      </c>
      <c r="O45" s="51"/>
    </row>
    <row r="46" spans="2:18" x14ac:dyDescent="0.25">
      <c r="B46" s="2" t="s">
        <v>77</v>
      </c>
      <c r="C46" s="11">
        <v>2254</v>
      </c>
      <c r="D46" s="11">
        <v>7126</v>
      </c>
      <c r="E46" s="11">
        <v>7449</v>
      </c>
      <c r="F46" s="11">
        <v>7444</v>
      </c>
      <c r="G46" s="52">
        <f>Assumptions!G23</f>
        <v>7444</v>
      </c>
      <c r="H46" s="52">
        <f>Assumptions!H23</f>
        <v>7444</v>
      </c>
      <c r="I46" s="52">
        <f>Assumptions!I23</f>
        <v>7444</v>
      </c>
      <c r="J46" s="52">
        <f>Assumptions!J23</f>
        <v>7444</v>
      </c>
      <c r="K46" s="52">
        <f>Assumptions!K23</f>
        <v>7444</v>
      </c>
      <c r="L46" s="52">
        <f>Assumptions!L23</f>
        <v>7444</v>
      </c>
      <c r="M46" s="52">
        <f>Assumptions!M23</f>
        <v>7444</v>
      </c>
      <c r="O46" s="51"/>
    </row>
    <row r="47" spans="2:18" x14ac:dyDescent="0.25">
      <c r="B47" s="2" t="s">
        <v>145</v>
      </c>
      <c r="C47" s="11">
        <v>0</v>
      </c>
      <c r="D47" s="11">
        <v>0</v>
      </c>
      <c r="E47" s="11">
        <v>0</v>
      </c>
      <c r="F47" s="11">
        <v>0</v>
      </c>
      <c r="G47" s="52">
        <f>F47-G89</f>
        <v>0</v>
      </c>
      <c r="H47" s="52">
        <f t="shared" ref="H47:M47" si="17">G47-H89</f>
        <v>0</v>
      </c>
      <c r="I47" s="52">
        <f t="shared" si="17"/>
        <v>0</v>
      </c>
      <c r="J47" s="52">
        <f t="shared" si="17"/>
        <v>0</v>
      </c>
      <c r="K47" s="52">
        <f t="shared" si="17"/>
        <v>0</v>
      </c>
      <c r="L47" s="52">
        <f t="shared" si="17"/>
        <v>0</v>
      </c>
      <c r="M47" s="52">
        <f t="shared" si="17"/>
        <v>0</v>
      </c>
      <c r="O47" s="51"/>
    </row>
    <row r="48" spans="2:18" x14ac:dyDescent="0.25">
      <c r="B48" s="2" t="s">
        <v>78</v>
      </c>
      <c r="C48" s="11">
        <v>807</v>
      </c>
      <c r="D48" s="11">
        <v>4311</v>
      </c>
      <c r="E48" s="11">
        <v>4205</v>
      </c>
      <c r="F48" s="11">
        <v>3958</v>
      </c>
      <c r="G48" s="52">
        <f>F48-G95-G111</f>
        <v>3593.349913</v>
      </c>
      <c r="H48" s="52">
        <f t="shared" ref="H48:M48" si="18">G48-H95-H111</f>
        <v>3186.29601125</v>
      </c>
      <c r="I48" s="52">
        <f t="shared" si="18"/>
        <v>2730.3250688044</v>
      </c>
      <c r="J48" s="52">
        <f t="shared" si="18"/>
        <v>2220.7219911691386</v>
      </c>
      <c r="K48" s="52">
        <f t="shared" si="18"/>
        <v>1655.3011903773859</v>
      </c>
      <c r="L48" s="52">
        <f t="shared" si="18"/>
        <v>1031.8747495029459</v>
      </c>
      <c r="M48" s="52">
        <f t="shared" si="18"/>
        <v>348.49981554304918</v>
      </c>
      <c r="O48" s="51"/>
      <c r="Q48" s="51"/>
    </row>
    <row r="49" spans="2:16" x14ac:dyDescent="0.25">
      <c r="B49" s="19" t="s">
        <v>80</v>
      </c>
      <c r="C49" s="20">
        <f>SUM(C44:C48)</f>
        <v>31426</v>
      </c>
      <c r="D49" s="20">
        <f>SUM(D44:D48)</f>
        <v>42104</v>
      </c>
      <c r="E49" s="20">
        <f>SUM(E44:E48)</f>
        <v>42821</v>
      </c>
      <c r="F49" s="20">
        <f>SUM(F44:F48)</f>
        <v>43974</v>
      </c>
      <c r="G49" s="20">
        <f>SUM(G44:G48)</f>
        <v>43281.868023000003</v>
      </c>
      <c r="H49" s="20">
        <f t="shared" ref="H49:M49" si="19">SUM(H44:H48)</f>
        <v>42481.028084550002</v>
      </c>
      <c r="I49" s="20">
        <f t="shared" si="19"/>
        <v>41593.153930836401</v>
      </c>
      <c r="J49" s="20">
        <f t="shared" si="19"/>
        <v>40621.420722500712</v>
      </c>
      <c r="K49" s="20">
        <f t="shared" si="19"/>
        <v>39552.523329411139</v>
      </c>
      <c r="L49" s="20">
        <f t="shared" si="19"/>
        <v>38374.109496165453</v>
      </c>
      <c r="M49" s="20">
        <f t="shared" si="19"/>
        <v>37073.475091745539</v>
      </c>
    </row>
    <row r="50" spans="2:16" x14ac:dyDescent="0.25">
      <c r="B50" s="28" t="s">
        <v>79</v>
      </c>
      <c r="C50" s="32">
        <f>C42+C49</f>
        <v>51236</v>
      </c>
      <c r="D50" s="32">
        <f>D42+D49</f>
        <v>70581</v>
      </c>
      <c r="E50" s="32">
        <f>E42+E49</f>
        <v>71876</v>
      </c>
      <c r="F50" s="32">
        <f>F42+F49</f>
        <v>76445</v>
      </c>
      <c r="G50" s="32">
        <f ca="1">G42+G49</f>
        <v>79728.736942730276</v>
      </c>
      <c r="H50" s="32">
        <f t="shared" ref="H50:M50" ca="1" si="20">H42+H49</f>
        <v>78980.390819459833</v>
      </c>
      <c r="I50" s="32">
        <f t="shared" ca="1" si="20"/>
        <v>78173.557885718677</v>
      </c>
      <c r="J50" s="32">
        <f t="shared" ca="1" si="20"/>
        <v>79018.634709458012</v>
      </c>
      <c r="K50" s="32">
        <f t="shared" ca="1" si="20"/>
        <v>80409.418285644249</v>
      </c>
      <c r="L50" s="32">
        <f t="shared" ca="1" si="20"/>
        <v>82328.768845833663</v>
      </c>
      <c r="M50" s="32">
        <f t="shared" ca="1" si="20"/>
        <v>84878.715123335001</v>
      </c>
      <c r="P50" s="51"/>
    </row>
    <row r="51" spans="2:16" x14ac:dyDescent="0.25">
      <c r="B51" s="2"/>
    </row>
    <row r="52" spans="2:16" x14ac:dyDescent="0.25">
      <c r="B52" s="16" t="s">
        <v>81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 spans="2:16" x14ac:dyDescent="0.25">
      <c r="B53" s="2" t="s">
        <v>82</v>
      </c>
      <c r="C53" s="11">
        <v>974</v>
      </c>
      <c r="D53" s="11">
        <v>0</v>
      </c>
      <c r="E53" s="11">
        <v>1035</v>
      </c>
      <c r="F53" s="11">
        <v>0</v>
      </c>
      <c r="G53" s="52">
        <f>F53+G115</f>
        <v>0</v>
      </c>
      <c r="H53" s="52">
        <f t="shared" ref="H53:M53" si="21">G53+H115</f>
        <v>0</v>
      </c>
      <c r="I53" s="52">
        <f t="shared" si="21"/>
        <v>0</v>
      </c>
      <c r="J53" s="52">
        <f t="shared" si="21"/>
        <v>0</v>
      </c>
      <c r="K53" s="52">
        <f t="shared" si="21"/>
        <v>0</v>
      </c>
      <c r="L53" s="52">
        <f t="shared" si="21"/>
        <v>0</v>
      </c>
      <c r="M53" s="52">
        <f t="shared" si="21"/>
        <v>0</v>
      </c>
      <c r="O53" s="51"/>
    </row>
    <row r="54" spans="2:16" x14ac:dyDescent="0.25">
      <c r="B54" s="2" t="s">
        <v>83</v>
      </c>
      <c r="C54" s="11">
        <v>7787</v>
      </c>
      <c r="D54" s="11">
        <v>11606</v>
      </c>
      <c r="E54" s="11">
        <v>13462</v>
      </c>
      <c r="F54" s="11">
        <v>11443</v>
      </c>
      <c r="G54" s="52">
        <f>F54+G99</f>
        <v>12592.015066774575</v>
      </c>
      <c r="H54" s="52">
        <f t="shared" ref="H54:M54" si="22">G54+H99</f>
        <v>12989.82834480067</v>
      </c>
      <c r="I54" s="52">
        <f t="shared" si="22"/>
        <v>13529.645163440888</v>
      </c>
      <c r="J54" s="52">
        <f t="shared" si="22"/>
        <v>14132.513208765509</v>
      </c>
      <c r="K54" s="52">
        <f t="shared" si="22"/>
        <v>14719.750772544663</v>
      </c>
      <c r="L54" s="52">
        <f t="shared" si="22"/>
        <v>15294.501100772191</v>
      </c>
      <c r="M54" s="52">
        <f t="shared" si="22"/>
        <v>15853.364902155317</v>
      </c>
      <c r="O54" s="51"/>
    </row>
    <row r="55" spans="2:16" x14ac:dyDescent="0.25">
      <c r="B55" s="2" t="s">
        <v>84</v>
      </c>
      <c r="C55" s="11">
        <v>1494</v>
      </c>
      <c r="D55" s="11">
        <v>2463</v>
      </c>
      <c r="E55" s="11">
        <v>2426</v>
      </c>
      <c r="F55" s="11">
        <v>1991</v>
      </c>
      <c r="G55" s="52">
        <f>F55+G100</f>
        <v>2222.4308723728345</v>
      </c>
      <c r="H55" s="52">
        <f t="shared" ref="H55:M55" si="23">G55+H100</f>
        <v>2289.3391543738589</v>
      </c>
      <c r="I55" s="52">
        <f t="shared" si="23"/>
        <v>2380.912720548813</v>
      </c>
      <c r="J55" s="52">
        <f t="shared" si="23"/>
        <v>2483.2919675324119</v>
      </c>
      <c r="K55" s="52">
        <f t="shared" si="23"/>
        <v>2582.6236462337083</v>
      </c>
      <c r="L55" s="52">
        <f t="shared" si="23"/>
        <v>2679.4720329674728</v>
      </c>
      <c r="M55" s="52">
        <f t="shared" si="23"/>
        <v>2773.2535541213342</v>
      </c>
      <c r="O55" s="51"/>
    </row>
    <row r="56" spans="2:16" x14ac:dyDescent="0.25">
      <c r="B56" s="2" t="s">
        <v>211</v>
      </c>
      <c r="C56" s="11">
        <v>0</v>
      </c>
      <c r="D56" s="11">
        <v>0</v>
      </c>
      <c r="E56" s="11">
        <v>0</v>
      </c>
      <c r="F56" s="11">
        <v>0</v>
      </c>
      <c r="G56" s="52">
        <f>F56+G90</f>
        <v>385.48922500000003</v>
      </c>
      <c r="H56" s="52">
        <f t="shared" ref="H56:M56" si="24">G56+H90</f>
        <v>782.54312675000006</v>
      </c>
      <c r="I56" s="52">
        <f t="shared" si="24"/>
        <v>1195.4791845700001</v>
      </c>
      <c r="J56" s="52">
        <f t="shared" si="24"/>
        <v>1626.1714928762601</v>
      </c>
      <c r="K56" s="52">
        <f t="shared" si="24"/>
        <v>2074.0914935147703</v>
      </c>
      <c r="L56" s="52">
        <f t="shared" si="24"/>
        <v>2538.8084941772249</v>
      </c>
      <c r="M56" s="52">
        <f t="shared" si="24"/>
        <v>3019.7905898628655</v>
      </c>
      <c r="O56" s="51"/>
    </row>
    <row r="57" spans="2:16" x14ac:dyDescent="0.25">
      <c r="B57" s="2" t="s">
        <v>85</v>
      </c>
      <c r="C57" s="11">
        <v>605</v>
      </c>
      <c r="D57" s="11">
        <v>774</v>
      </c>
      <c r="E57" s="11">
        <v>848</v>
      </c>
      <c r="F57" s="11">
        <v>528</v>
      </c>
      <c r="G57" s="52">
        <f ca="1">F57+G102</f>
        <v>690.80097767068082</v>
      </c>
      <c r="H57" s="52">
        <f t="shared" ref="H57:M57" ca="1" si="25">G57+H102</f>
        <v>712.09350546280166</v>
      </c>
      <c r="I57" s="52">
        <f t="shared" ca="1" si="25"/>
        <v>742.106900889381</v>
      </c>
      <c r="J57" s="52">
        <f t="shared" ca="1" si="25"/>
        <v>775.33113689873869</v>
      </c>
      <c r="K57" s="52">
        <f t="shared" ca="1" si="25"/>
        <v>806.98611245557493</v>
      </c>
      <c r="L57" s="52">
        <f t="shared" ca="1" si="25"/>
        <v>837.57492849636628</v>
      </c>
      <c r="M57" s="52">
        <f t="shared" ca="1" si="25"/>
        <v>866.94273210060749</v>
      </c>
      <c r="O57" s="51"/>
    </row>
    <row r="58" spans="2:16" x14ac:dyDescent="0.25">
      <c r="B58" s="2" t="s">
        <v>86</v>
      </c>
      <c r="C58" s="11">
        <v>2116</v>
      </c>
      <c r="D58" s="11">
        <v>2823</v>
      </c>
      <c r="E58" s="11">
        <v>3596</v>
      </c>
      <c r="F58" s="11">
        <v>3064</v>
      </c>
      <c r="G58" s="52">
        <f>F58+G92</f>
        <v>3295.2935349999998</v>
      </c>
      <c r="H58" s="52">
        <f t="shared" ref="H58:M58" si="26">G58+H92</f>
        <v>3533.5258760499996</v>
      </c>
      <c r="I58" s="52">
        <f t="shared" si="26"/>
        <v>3781.2875107419995</v>
      </c>
      <c r="J58" s="52">
        <f t="shared" si="26"/>
        <v>4039.7028957257553</v>
      </c>
      <c r="K58" s="52">
        <f t="shared" si="26"/>
        <v>4308.4548961088612</v>
      </c>
      <c r="L58" s="52">
        <f t="shared" si="26"/>
        <v>4587.2850965063344</v>
      </c>
      <c r="M58" s="52">
        <f t="shared" si="26"/>
        <v>4875.8743539177185</v>
      </c>
      <c r="O58" s="51"/>
    </row>
    <row r="59" spans="2:16" x14ac:dyDescent="0.25">
      <c r="B59" s="2" t="s">
        <v>139</v>
      </c>
      <c r="C59" s="11">
        <v>55</v>
      </c>
      <c r="D59" s="11">
        <v>193</v>
      </c>
      <c r="E59" s="11">
        <v>158</v>
      </c>
      <c r="F59" s="11">
        <v>50</v>
      </c>
      <c r="G59" s="52">
        <f ca="1">F59+G101</f>
        <v>104.42340360138198</v>
      </c>
      <c r="H59" s="52">
        <f t="shared" ref="H59:M59" ca="1" si="27">G59+H101</f>
        <v>107.65465410081197</v>
      </c>
      <c r="I59" s="52">
        <f t="shared" ca="1" si="27"/>
        <v>112.19209430810518</v>
      </c>
      <c r="J59" s="52">
        <f t="shared" ca="1" si="27"/>
        <v>117.21495100868211</v>
      </c>
      <c r="K59" s="52">
        <f t="shared" ca="1" si="27"/>
        <v>122.0005661252335</v>
      </c>
      <c r="L59" s="52">
        <f t="shared" ca="1" si="27"/>
        <v>126.6249987102275</v>
      </c>
      <c r="M59" s="52">
        <f t="shared" ca="1" si="27"/>
        <v>131.06483802130279</v>
      </c>
      <c r="O59" s="51"/>
    </row>
    <row r="60" spans="2:16" x14ac:dyDescent="0.25">
      <c r="B60" s="2" t="s">
        <v>87</v>
      </c>
      <c r="C60" s="11">
        <v>1839</v>
      </c>
      <c r="D60" s="11">
        <v>1416</v>
      </c>
      <c r="E60" s="11">
        <v>2447</v>
      </c>
      <c r="F60" s="11">
        <v>1231</v>
      </c>
      <c r="G60" s="52">
        <f>F60</f>
        <v>1231</v>
      </c>
      <c r="H60" s="52">
        <f t="shared" ref="H60:M60" si="28">G60</f>
        <v>1231</v>
      </c>
      <c r="I60" s="52">
        <f t="shared" si="28"/>
        <v>1231</v>
      </c>
      <c r="J60" s="52">
        <f t="shared" si="28"/>
        <v>1231</v>
      </c>
      <c r="K60" s="52">
        <f t="shared" si="28"/>
        <v>1231</v>
      </c>
      <c r="L60" s="52">
        <f t="shared" si="28"/>
        <v>1231</v>
      </c>
      <c r="M60" s="52">
        <f t="shared" si="28"/>
        <v>1231</v>
      </c>
      <c r="O60" s="51"/>
    </row>
    <row r="61" spans="2:16" x14ac:dyDescent="0.25">
      <c r="B61" s="2" t="s">
        <v>88</v>
      </c>
      <c r="C61" s="11">
        <v>828</v>
      </c>
      <c r="D61" s="11">
        <v>828</v>
      </c>
      <c r="E61" s="11">
        <v>830</v>
      </c>
      <c r="F61" s="11">
        <v>945</v>
      </c>
      <c r="G61" s="52">
        <f>F61</f>
        <v>945</v>
      </c>
      <c r="H61" s="52">
        <f t="shared" ref="H61:M61" si="29">G61</f>
        <v>945</v>
      </c>
      <c r="I61" s="52">
        <f t="shared" si="29"/>
        <v>945</v>
      </c>
      <c r="J61" s="52">
        <f t="shared" si="29"/>
        <v>945</v>
      </c>
      <c r="K61" s="52">
        <f t="shared" si="29"/>
        <v>945</v>
      </c>
      <c r="L61" s="52">
        <f t="shared" si="29"/>
        <v>945</v>
      </c>
      <c r="M61" s="52">
        <f t="shared" si="29"/>
        <v>945</v>
      </c>
      <c r="O61" s="51"/>
    </row>
    <row r="62" spans="2:16" x14ac:dyDescent="0.25">
      <c r="B62" s="2" t="s">
        <v>90</v>
      </c>
      <c r="C62" s="11">
        <v>2677</v>
      </c>
      <c r="D62" s="11">
        <v>3063</v>
      </c>
      <c r="E62" s="11">
        <v>3891</v>
      </c>
      <c r="F62" s="11">
        <v>3858</v>
      </c>
      <c r="G62" s="52">
        <f>F62</f>
        <v>3858</v>
      </c>
      <c r="H62" s="52">
        <f t="shared" ref="H62:M62" si="30">G62</f>
        <v>3858</v>
      </c>
      <c r="I62" s="52">
        <f t="shared" si="30"/>
        <v>3858</v>
      </c>
      <c r="J62" s="52">
        <f t="shared" si="30"/>
        <v>3858</v>
      </c>
      <c r="K62" s="52">
        <f t="shared" si="30"/>
        <v>3858</v>
      </c>
      <c r="L62" s="52">
        <f t="shared" si="30"/>
        <v>3858</v>
      </c>
      <c r="M62" s="52">
        <f t="shared" si="30"/>
        <v>3858</v>
      </c>
      <c r="O62" s="51"/>
    </row>
    <row r="63" spans="2:16" x14ac:dyDescent="0.25">
      <c r="B63" s="19" t="s">
        <v>91</v>
      </c>
      <c r="C63" s="20">
        <f>SUM(C53:C62)</f>
        <v>18375</v>
      </c>
      <c r="D63" s="20">
        <f>SUM(D53:D62)</f>
        <v>23166</v>
      </c>
      <c r="E63" s="20">
        <f>SUM(E53:E62)</f>
        <v>28693</v>
      </c>
      <c r="F63" s="20">
        <f>SUM(F53:F62)</f>
        <v>23110</v>
      </c>
      <c r="G63" s="20">
        <f ca="1">SUM(G53:G62)</f>
        <v>25324.453080419469</v>
      </c>
      <c r="H63" s="20">
        <f t="shared" ref="H63:M63" ca="1" si="31">SUM(H53:H62)</f>
        <v>26448.984661538139</v>
      </c>
      <c r="I63" s="20">
        <f t="shared" ca="1" si="31"/>
        <v>27775.62357449919</v>
      </c>
      <c r="J63" s="20">
        <f t="shared" ca="1" si="31"/>
        <v>29208.225652807356</v>
      </c>
      <c r="K63" s="20">
        <f t="shared" ca="1" si="31"/>
        <v>30647.907486982811</v>
      </c>
      <c r="L63" s="20">
        <f t="shared" ca="1" si="31"/>
        <v>32098.26665162982</v>
      </c>
      <c r="M63" s="20">
        <f t="shared" ca="1" si="31"/>
        <v>33554.29097017915</v>
      </c>
    </row>
    <row r="64" spans="2:16" x14ac:dyDescent="0.25">
      <c r="B64" s="2"/>
    </row>
    <row r="65" spans="2:17" x14ac:dyDescent="0.25">
      <c r="B65" s="2" t="s">
        <v>92</v>
      </c>
      <c r="C65" s="11">
        <v>28670</v>
      </c>
      <c r="D65" s="11">
        <v>35822</v>
      </c>
      <c r="E65" s="11">
        <v>36604</v>
      </c>
      <c r="F65" s="11">
        <v>41962</v>
      </c>
      <c r="G65" s="52">
        <f>F65+G116+G117</f>
        <v>39762</v>
      </c>
      <c r="H65" s="52">
        <f t="shared" ref="H65:M65" si="32">G65+H116+H117</f>
        <v>34262</v>
      </c>
      <c r="I65" s="52">
        <f t="shared" si="32"/>
        <v>28162</v>
      </c>
      <c r="J65" s="52">
        <f t="shared" si="32"/>
        <v>23162</v>
      </c>
      <c r="K65" s="52">
        <f>J65+K116+K117</f>
        <v>18162</v>
      </c>
      <c r="L65" s="52">
        <f t="shared" si="32"/>
        <v>13162</v>
      </c>
      <c r="M65" s="52">
        <f t="shared" si="32"/>
        <v>8162</v>
      </c>
      <c r="O65" s="51"/>
    </row>
    <row r="66" spans="2:17" x14ac:dyDescent="0.25">
      <c r="B66" s="2" t="s">
        <v>93</v>
      </c>
      <c r="C66" s="11">
        <v>5066</v>
      </c>
      <c r="D66" s="11">
        <v>5356</v>
      </c>
      <c r="E66" s="11">
        <v>5353</v>
      </c>
      <c r="F66" s="11">
        <v>6226</v>
      </c>
      <c r="G66" s="52">
        <f>F66</f>
        <v>6226</v>
      </c>
      <c r="H66" s="52">
        <f t="shared" ref="H66:M66" si="33">G66</f>
        <v>6226</v>
      </c>
      <c r="I66" s="52">
        <f t="shared" si="33"/>
        <v>6226</v>
      </c>
      <c r="J66" s="52">
        <f t="shared" si="33"/>
        <v>6226</v>
      </c>
      <c r="K66" s="52">
        <f t="shared" si="33"/>
        <v>6226</v>
      </c>
      <c r="L66" s="52">
        <f t="shared" si="33"/>
        <v>6226</v>
      </c>
      <c r="M66" s="52">
        <f t="shared" si="33"/>
        <v>6226</v>
      </c>
      <c r="O66" s="51"/>
    </row>
    <row r="67" spans="2:17" x14ac:dyDescent="0.25">
      <c r="B67" s="2" t="s">
        <v>140</v>
      </c>
      <c r="C67" s="11">
        <v>706</v>
      </c>
      <c r="D67" s="11">
        <v>1131</v>
      </c>
      <c r="E67" s="11">
        <v>909</v>
      </c>
      <c r="F67" s="11">
        <v>1019</v>
      </c>
      <c r="G67" s="52">
        <f>F67+G93</f>
        <v>1697.8134139999997</v>
      </c>
      <c r="H67" s="52">
        <f t="shared" ref="H67:M67" si="34">G67+H93</f>
        <v>2386.3455712999998</v>
      </c>
      <c r="I67" s="52">
        <f t="shared" si="34"/>
        <v>2883.9641102671999</v>
      </c>
      <c r="J67" s="52">
        <f t="shared" si="34"/>
        <v>3225.947225866078</v>
      </c>
      <c r="K67" s="52">
        <f t="shared" si="34"/>
        <v>3440.3108050201395</v>
      </c>
      <c r="L67" s="52">
        <f t="shared" si="34"/>
        <v>3548.68099872737</v>
      </c>
      <c r="M67" s="52">
        <f t="shared" si="34"/>
        <v>3665.7701348889636</v>
      </c>
      <c r="O67" s="51"/>
    </row>
    <row r="68" spans="2:17" x14ac:dyDescent="0.25">
      <c r="B68" s="2" t="s">
        <v>94</v>
      </c>
      <c r="C68" s="11">
        <v>1535</v>
      </c>
      <c r="D68" s="11">
        <v>1807</v>
      </c>
      <c r="E68" s="11">
        <v>2013</v>
      </c>
      <c r="F68" s="11">
        <v>2566</v>
      </c>
      <c r="G68" s="52">
        <f>F68</f>
        <v>2566</v>
      </c>
      <c r="H68" s="52">
        <f t="shared" ref="H68:M68" si="35">G68</f>
        <v>2566</v>
      </c>
      <c r="I68" s="52">
        <f t="shared" si="35"/>
        <v>2566</v>
      </c>
      <c r="J68" s="52">
        <f t="shared" si="35"/>
        <v>2566</v>
      </c>
      <c r="K68" s="52">
        <f t="shared" si="35"/>
        <v>2566</v>
      </c>
      <c r="L68" s="52">
        <f t="shared" si="35"/>
        <v>2566</v>
      </c>
      <c r="M68" s="52">
        <f t="shared" si="35"/>
        <v>2566</v>
      </c>
      <c r="O68" s="51"/>
    </row>
    <row r="69" spans="2:17" x14ac:dyDescent="0.25">
      <c r="B69" s="19" t="s">
        <v>95</v>
      </c>
      <c r="C69" s="20">
        <f>SUM(C65:C68)</f>
        <v>35977</v>
      </c>
      <c r="D69" s="20">
        <f>SUM(D65:D68)</f>
        <v>44116</v>
      </c>
      <c r="E69" s="20">
        <f>SUM(E65:E68)</f>
        <v>44879</v>
      </c>
      <c r="F69" s="20">
        <f>SUM(F65:F68)</f>
        <v>51773</v>
      </c>
      <c r="G69" s="20">
        <f>SUM(G65:G68)</f>
        <v>50251.813413999997</v>
      </c>
      <c r="H69" s="20">
        <f t="shared" ref="H69:M69" si="36">SUM(H65:H68)</f>
        <v>45440.3455713</v>
      </c>
      <c r="I69" s="20">
        <f t="shared" si="36"/>
        <v>39837.964110267203</v>
      </c>
      <c r="J69" s="20">
        <f t="shared" si="36"/>
        <v>35179.947225866083</v>
      </c>
      <c r="K69" s="20">
        <f t="shared" si="36"/>
        <v>30394.310805020141</v>
      </c>
      <c r="L69" s="20">
        <f t="shared" si="36"/>
        <v>25502.68099872737</v>
      </c>
      <c r="M69" s="20">
        <f t="shared" si="36"/>
        <v>20619.770134888964</v>
      </c>
    </row>
    <row r="70" spans="2:17" x14ac:dyDescent="0.25">
      <c r="B70" s="28" t="s">
        <v>96</v>
      </c>
      <c r="C70" s="32">
        <f>C63+C69</f>
        <v>54352</v>
      </c>
      <c r="D70" s="32">
        <f>D63+D69</f>
        <v>67282</v>
      </c>
      <c r="E70" s="32">
        <f>E63+E69</f>
        <v>73572</v>
      </c>
      <c r="F70" s="32">
        <f>F63+F69</f>
        <v>74883</v>
      </c>
      <c r="G70" s="32">
        <f ca="1">G63+G69</f>
        <v>75576.266494419469</v>
      </c>
      <c r="H70" s="32">
        <f t="shared" ref="H70:M70" ca="1" si="37">H63+H69</f>
        <v>71889.33023283814</v>
      </c>
      <c r="I70" s="32">
        <f t="shared" ca="1" si="37"/>
        <v>67613.587684766389</v>
      </c>
      <c r="J70" s="32">
        <f t="shared" ca="1" si="37"/>
        <v>64388.172878673438</v>
      </c>
      <c r="K70" s="32">
        <f t="shared" ca="1" si="37"/>
        <v>61042.218292002952</v>
      </c>
      <c r="L70" s="32">
        <f t="shared" ca="1" si="37"/>
        <v>57600.947650357193</v>
      </c>
      <c r="M70" s="32">
        <f t="shared" ca="1" si="37"/>
        <v>54174.061105068118</v>
      </c>
    </row>
    <row r="71" spans="2:17" x14ac:dyDescent="0.25">
      <c r="B71" s="2"/>
    </row>
    <row r="72" spans="2:17" x14ac:dyDescent="0.25">
      <c r="B72" s="16" t="s">
        <v>97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 spans="2:17" x14ac:dyDescent="0.25">
      <c r="B73" s="2" t="s">
        <v>98</v>
      </c>
      <c r="C73" s="11">
        <v>89</v>
      </c>
      <c r="D73" s="11">
        <v>89</v>
      </c>
      <c r="E73" s="11">
        <v>90</v>
      </c>
      <c r="F73" s="11">
        <v>90</v>
      </c>
      <c r="G73" s="52">
        <f>F73</f>
        <v>90</v>
      </c>
      <c r="H73" s="52">
        <f t="shared" ref="H73:M73" si="38">G73</f>
        <v>90</v>
      </c>
      <c r="I73" s="52">
        <f t="shared" si="38"/>
        <v>90</v>
      </c>
      <c r="J73" s="52">
        <f t="shared" si="38"/>
        <v>90</v>
      </c>
      <c r="K73" s="52">
        <f t="shared" si="38"/>
        <v>90</v>
      </c>
      <c r="L73" s="52">
        <f t="shared" si="38"/>
        <v>90</v>
      </c>
      <c r="M73" s="52">
        <f t="shared" si="38"/>
        <v>90</v>
      </c>
      <c r="O73" s="51"/>
    </row>
    <row r="74" spans="2:17" x14ac:dyDescent="0.25">
      <c r="B74" s="2" t="s">
        <v>99</v>
      </c>
      <c r="C74" s="11">
        <v>11001</v>
      </c>
      <c r="D74" s="11">
        <v>11540</v>
      </c>
      <c r="E74" s="11">
        <v>12132</v>
      </c>
      <c r="F74" s="11">
        <v>12592</v>
      </c>
      <c r="G74" s="52">
        <f>F74</f>
        <v>12592</v>
      </c>
      <c r="H74" s="52">
        <f t="shared" ref="H74:M74" si="39">G74</f>
        <v>12592</v>
      </c>
      <c r="I74" s="52">
        <f t="shared" si="39"/>
        <v>12592</v>
      </c>
      <c r="J74" s="52">
        <f t="shared" si="39"/>
        <v>12592</v>
      </c>
      <c r="K74" s="52">
        <f t="shared" si="39"/>
        <v>12592</v>
      </c>
      <c r="L74" s="52">
        <f t="shared" si="39"/>
        <v>12592</v>
      </c>
      <c r="M74" s="52">
        <f t="shared" si="39"/>
        <v>12592</v>
      </c>
      <c r="O74" s="51"/>
    </row>
    <row r="75" spans="2:17" x14ac:dyDescent="0.25">
      <c r="B75" s="2" t="s">
        <v>100</v>
      </c>
      <c r="C75" s="11">
        <v>51729</v>
      </c>
      <c r="D75" s="11">
        <v>58134</v>
      </c>
      <c r="E75" s="11">
        <v>67580</v>
      </c>
      <c r="F75" s="11">
        <v>76896</v>
      </c>
      <c r="G75" s="52">
        <f ca="1">F75+G87+G124+G122</f>
        <v>79642.470448310793</v>
      </c>
      <c r="H75" s="52">
        <f t="shared" ref="H75:M75" ca="1" si="40">G75+H87+H124+H122</f>
        <v>82737.060586621679</v>
      </c>
      <c r="I75" s="52">
        <f t="shared" ca="1" si="40"/>
        <v>86361.970200952273</v>
      </c>
      <c r="J75" s="52">
        <f t="shared" ca="1" si="40"/>
        <v>90588.461830784567</v>
      </c>
      <c r="K75" s="52">
        <f t="shared" ca="1" si="40"/>
        <v>95481.19999364129</v>
      </c>
      <c r="L75" s="52">
        <f t="shared" ca="1" si="40"/>
        <v>100997.82119547647</v>
      </c>
      <c r="M75" s="52">
        <f t="shared" ca="1" si="40"/>
        <v>107130.65401826688</v>
      </c>
      <c r="O75" s="51"/>
      <c r="Q75" s="51"/>
    </row>
    <row r="76" spans="2:17" x14ac:dyDescent="0.25">
      <c r="B76" s="2" t="s">
        <v>101</v>
      </c>
      <c r="C76" s="11">
        <v>-739</v>
      </c>
      <c r="D76" s="11">
        <v>-671</v>
      </c>
      <c r="E76" s="11">
        <v>-704</v>
      </c>
      <c r="F76" s="11">
        <v>-718</v>
      </c>
      <c r="G76" s="52">
        <f>F76+G129+G91+G125</f>
        <v>-874</v>
      </c>
      <c r="H76" s="52">
        <f t="shared" ref="H76:M76" si="41">G76+H129+H91+H125</f>
        <v>-1030</v>
      </c>
      <c r="I76" s="52">
        <f t="shared" si="41"/>
        <v>-1186</v>
      </c>
      <c r="J76" s="52">
        <f t="shared" si="41"/>
        <v>-1342</v>
      </c>
      <c r="K76" s="52">
        <f t="shared" si="41"/>
        <v>-1498</v>
      </c>
      <c r="L76" s="52">
        <f t="shared" si="41"/>
        <v>-1654</v>
      </c>
      <c r="M76" s="52">
        <f t="shared" si="41"/>
        <v>-1810</v>
      </c>
      <c r="O76" s="51"/>
      <c r="Q76" s="51"/>
    </row>
    <row r="77" spans="2:17" x14ac:dyDescent="0.25">
      <c r="B77" s="2" t="s">
        <v>102</v>
      </c>
      <c r="C77" s="11">
        <v>-65196</v>
      </c>
      <c r="D77" s="11">
        <v>-65793</v>
      </c>
      <c r="E77" s="11">
        <v>-80794</v>
      </c>
      <c r="F77" s="11">
        <v>-87298</v>
      </c>
      <c r="G77" s="52">
        <f>F77</f>
        <v>-87298</v>
      </c>
      <c r="H77" s="52">
        <f t="shared" ref="H77:M77" si="42">G77</f>
        <v>-87298</v>
      </c>
      <c r="I77" s="52">
        <f t="shared" si="42"/>
        <v>-87298</v>
      </c>
      <c r="J77" s="52">
        <f t="shared" si="42"/>
        <v>-87298</v>
      </c>
      <c r="K77" s="52">
        <f t="shared" si="42"/>
        <v>-87298</v>
      </c>
      <c r="L77" s="52">
        <f t="shared" si="42"/>
        <v>-87298</v>
      </c>
      <c r="M77" s="52">
        <f t="shared" si="42"/>
        <v>-87298</v>
      </c>
      <c r="O77" s="51"/>
    </row>
    <row r="78" spans="2:17" x14ac:dyDescent="0.25">
      <c r="B78" s="19" t="s">
        <v>103</v>
      </c>
      <c r="C78" s="20">
        <f>SUM(C73:C77)</f>
        <v>-3116</v>
      </c>
      <c r="D78" s="20">
        <f>SUM(D73:D77)</f>
        <v>3299</v>
      </c>
      <c r="E78" s="20">
        <f>SUM(E73:E77)</f>
        <v>-1696</v>
      </c>
      <c r="F78" s="20">
        <f>SUM(F73:F77)</f>
        <v>1562</v>
      </c>
      <c r="G78" s="20">
        <f ca="1">SUM(G73:G77)</f>
        <v>4152.4704483107926</v>
      </c>
      <c r="H78" s="20">
        <f t="shared" ref="H78:M78" ca="1" si="43">SUM(H73:H77)</f>
        <v>7091.0605866216792</v>
      </c>
      <c r="I78" s="20">
        <f t="shared" ca="1" si="43"/>
        <v>10559.970200952273</v>
      </c>
      <c r="J78" s="20">
        <f t="shared" ca="1" si="43"/>
        <v>14630.461830784567</v>
      </c>
      <c r="K78" s="20">
        <f t="shared" ca="1" si="43"/>
        <v>19367.19999364129</v>
      </c>
      <c r="L78" s="20">
        <f t="shared" ca="1" si="43"/>
        <v>24727.82119547647</v>
      </c>
      <c r="M78" s="20">
        <f t="shared" ca="1" si="43"/>
        <v>30704.654018266883</v>
      </c>
    </row>
    <row r="79" spans="2:17" x14ac:dyDescent="0.25">
      <c r="B79" s="28" t="s">
        <v>104</v>
      </c>
      <c r="C79" s="32">
        <f>C70+C78</f>
        <v>51236</v>
      </c>
      <c r="D79" s="32">
        <f>D70+D78</f>
        <v>70581</v>
      </c>
      <c r="E79" s="32">
        <f>E70+E78</f>
        <v>71876</v>
      </c>
      <c r="F79" s="32">
        <f>F70+F78</f>
        <v>76445</v>
      </c>
      <c r="G79" s="32">
        <f ca="1">G70+G78</f>
        <v>79728.736942730262</v>
      </c>
      <c r="H79" s="32">
        <f t="shared" ref="H79:M79" ca="1" si="44">H70+H78</f>
        <v>78980.390819459819</v>
      </c>
      <c r="I79" s="32">
        <f t="shared" ca="1" si="44"/>
        <v>78173.557885718663</v>
      </c>
      <c r="J79" s="32">
        <f t="shared" ca="1" si="44"/>
        <v>79018.634709458012</v>
      </c>
      <c r="K79" s="32">
        <f t="shared" ca="1" si="44"/>
        <v>80409.418285644235</v>
      </c>
      <c r="L79" s="32">
        <f t="shared" ca="1" si="44"/>
        <v>82328.768845833663</v>
      </c>
      <c r="M79" s="32">
        <f t="shared" ca="1" si="44"/>
        <v>84878.715123335001</v>
      </c>
    </row>
    <row r="80" spans="2:17" x14ac:dyDescent="0.25">
      <c r="B80" s="2"/>
    </row>
    <row r="81" spans="2:13" x14ac:dyDescent="0.25">
      <c r="B81" s="2" t="s">
        <v>106</v>
      </c>
      <c r="C81" s="50" t="str">
        <f>IF(C50=C79, "Y", "N")</f>
        <v>Y</v>
      </c>
      <c r="D81" s="50" t="str">
        <f>IF(D50=D79, "Y", "N")</f>
        <v>Y</v>
      </c>
      <c r="E81" s="50" t="str">
        <f>IF(E50=E79, "Y", "N")</f>
        <v>Y</v>
      </c>
      <c r="F81" s="50" t="str">
        <f>IF(F50=F79, "Y", "N")</f>
        <v>Y</v>
      </c>
      <c r="G81" s="50" t="str">
        <f ca="1">IF(G50=G79, "Y", "N")</f>
        <v>Y</v>
      </c>
      <c r="H81" s="50" t="str">
        <f t="shared" ref="H81:M81" ca="1" si="45">IF(H50=H79, "Y", "N")</f>
        <v>Y</v>
      </c>
      <c r="I81" s="50" t="str">
        <f t="shared" ca="1" si="45"/>
        <v>Y</v>
      </c>
      <c r="J81" s="50" t="str">
        <f t="shared" ca="1" si="45"/>
        <v>Y</v>
      </c>
      <c r="K81" s="50" t="str">
        <f t="shared" ca="1" si="45"/>
        <v>Y</v>
      </c>
      <c r="L81" s="50" t="str">
        <f t="shared" ca="1" si="45"/>
        <v>Y</v>
      </c>
      <c r="M81" s="50" t="str">
        <f t="shared" ca="1" si="45"/>
        <v>Y</v>
      </c>
    </row>
    <row r="82" spans="2:13" x14ac:dyDescent="0.25">
      <c r="B82" s="2"/>
      <c r="G82" s="51"/>
      <c r="H82" s="51"/>
      <c r="I82" s="51"/>
      <c r="J82" s="51"/>
      <c r="K82" s="51"/>
      <c r="L82" s="51"/>
      <c r="M82" s="51"/>
    </row>
    <row r="83" spans="2:13" x14ac:dyDescent="0.25">
      <c r="B83" s="2"/>
    </row>
    <row r="84" spans="2:13" x14ac:dyDescent="0.25">
      <c r="B84" s="2" t="s">
        <v>89</v>
      </c>
    </row>
    <row r="85" spans="2:13" x14ac:dyDescent="0.25">
      <c r="B85" s="5" t="s">
        <v>68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spans="2:13" x14ac:dyDescent="0.25">
      <c r="B86" s="16" t="s">
        <v>121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</row>
    <row r="87" spans="2:13" x14ac:dyDescent="0.25">
      <c r="B87" s="7" t="s">
        <v>138</v>
      </c>
      <c r="C87" s="11">
        <v>12866</v>
      </c>
      <c r="D87" s="11">
        <v>16433</v>
      </c>
      <c r="E87" s="11">
        <v>17105</v>
      </c>
      <c r="F87" s="11">
        <v>15143</v>
      </c>
      <c r="G87" s="52">
        <f ca="1">G25</f>
        <v>15201.470448310798</v>
      </c>
      <c r="H87" s="52">
        <f t="shared" ref="H87:M87" ca="1" si="46">H25</f>
        <v>15671.390138310895</v>
      </c>
      <c r="I87" s="52">
        <f t="shared" ca="1" si="46"/>
        <v>16331.909614330594</v>
      </c>
      <c r="J87" s="52">
        <f t="shared" ca="1" si="46"/>
        <v>17063.091629832295</v>
      </c>
      <c r="K87" s="52">
        <f t="shared" ca="1" si="46"/>
        <v>17759.738162856724</v>
      </c>
      <c r="L87" s="52">
        <f t="shared" ca="1" si="46"/>
        <v>18432.921201835175</v>
      </c>
      <c r="M87" s="52">
        <f t="shared" ca="1" si="46"/>
        <v>19079.232822790407</v>
      </c>
    </row>
    <row r="88" spans="2:13" x14ac:dyDescent="0.25">
      <c r="B88" s="7" t="s">
        <v>111</v>
      </c>
      <c r="C88" s="11">
        <v>2519</v>
      </c>
      <c r="D88" s="11">
        <v>2862</v>
      </c>
      <c r="E88" s="11">
        <v>2975</v>
      </c>
      <c r="F88" s="11">
        <v>3247</v>
      </c>
      <c r="G88" s="52">
        <f>G157</f>
        <v>3411.3956899999998</v>
      </c>
      <c r="H88" s="52">
        <f t="shared" ref="H88:M88" si="47">H157</f>
        <v>3570.2172507</v>
      </c>
      <c r="I88" s="52">
        <f t="shared" si="47"/>
        <v>3735.391673828</v>
      </c>
      <c r="J88" s="52">
        <f t="shared" si="47"/>
        <v>3907.668597150504</v>
      </c>
      <c r="K88" s="52">
        <f t="shared" si="47"/>
        <v>4086.8365974059079</v>
      </c>
      <c r="L88" s="52">
        <f t="shared" si="47"/>
        <v>4272.7233976708894</v>
      </c>
      <c r="M88" s="52">
        <f t="shared" si="47"/>
        <v>4465.1162359451455</v>
      </c>
    </row>
    <row r="89" spans="2:13" x14ac:dyDescent="0.25">
      <c r="B89" s="7" t="s">
        <v>146</v>
      </c>
      <c r="D89" s="11"/>
      <c r="E89" s="11"/>
      <c r="G89" s="52">
        <f>Assumptions!G27</f>
        <v>0</v>
      </c>
      <c r="H89" s="52">
        <f>Assumptions!H27</f>
        <v>0</v>
      </c>
      <c r="I89" s="52">
        <f>Assumptions!I27</f>
        <v>0</v>
      </c>
      <c r="J89" s="52">
        <f>Assumptions!J27</f>
        <v>0</v>
      </c>
      <c r="K89" s="52">
        <f>Assumptions!K27</f>
        <v>0</v>
      </c>
      <c r="L89" s="52">
        <f>Assumptions!L27</f>
        <v>0</v>
      </c>
      <c r="M89" s="52">
        <f>Assumptions!M27</f>
        <v>0</v>
      </c>
    </row>
    <row r="90" spans="2:13" x14ac:dyDescent="0.25">
      <c r="B90" s="7" t="s">
        <v>112</v>
      </c>
      <c r="C90" s="11">
        <v>310</v>
      </c>
      <c r="D90" s="11">
        <v>399</v>
      </c>
      <c r="E90" s="11">
        <v>366</v>
      </c>
      <c r="F90" s="11">
        <v>380</v>
      </c>
      <c r="G90" s="52">
        <f>Assumptions!G28</f>
        <v>385.48922500000003</v>
      </c>
      <c r="H90" s="52">
        <f>Assumptions!H28</f>
        <v>397.05390175000002</v>
      </c>
      <c r="I90" s="52">
        <f>Assumptions!I28</f>
        <v>412.93605781999997</v>
      </c>
      <c r="J90" s="52">
        <f>Assumptions!J28</f>
        <v>430.69230830625997</v>
      </c>
      <c r="K90" s="52">
        <f>Assumptions!K28</f>
        <v>447.92000063851037</v>
      </c>
      <c r="L90" s="52">
        <f>Assumptions!L28</f>
        <v>464.71700066245461</v>
      </c>
      <c r="M90" s="52">
        <f>Assumptions!M28</f>
        <v>480.98209568564045</v>
      </c>
    </row>
    <row r="91" spans="2:13" x14ac:dyDescent="0.25">
      <c r="B91" s="7" t="s">
        <v>142</v>
      </c>
      <c r="C91" s="11">
        <v>0</v>
      </c>
      <c r="E91" s="11"/>
      <c r="G91" s="52">
        <f>Assumptions!G30</f>
        <v>0</v>
      </c>
      <c r="H91" s="52">
        <f>Assumptions!H30</f>
        <v>0</v>
      </c>
      <c r="I91" s="52">
        <f>Assumptions!I30</f>
        <v>0</v>
      </c>
      <c r="J91" s="52">
        <f>Assumptions!J30</f>
        <v>0</v>
      </c>
      <c r="K91" s="52">
        <f>Assumptions!K30</f>
        <v>0</v>
      </c>
      <c r="L91" s="52">
        <f>Assumptions!L30</f>
        <v>0</v>
      </c>
      <c r="M91" s="52">
        <f>Assumptions!M30</f>
        <v>0</v>
      </c>
    </row>
    <row r="92" spans="2:13" x14ac:dyDescent="0.25">
      <c r="B92" s="7" t="s">
        <v>117</v>
      </c>
      <c r="C92" s="11">
        <v>702</v>
      </c>
      <c r="D92" s="11">
        <v>775</v>
      </c>
      <c r="E92" s="11">
        <v>-526</v>
      </c>
      <c r="F92" s="11">
        <v>-318</v>
      </c>
      <c r="G92" s="52">
        <f>Assumptions!G32</f>
        <v>231.29353500000002</v>
      </c>
      <c r="H92" s="52">
        <f>Assumptions!H32</f>
        <v>238.23234105</v>
      </c>
      <c r="I92" s="52">
        <f>Assumptions!I32</f>
        <v>247.761634692</v>
      </c>
      <c r="J92" s="52">
        <f>Assumptions!J32</f>
        <v>258.41538498375598</v>
      </c>
      <c r="K92" s="52">
        <f>Assumptions!K32</f>
        <v>268.75200038310624</v>
      </c>
      <c r="L92" s="52">
        <f>Assumptions!L32</f>
        <v>278.83020039747277</v>
      </c>
      <c r="M92" s="52">
        <f>Assumptions!M32</f>
        <v>288.58925741138427</v>
      </c>
    </row>
    <row r="93" spans="2:13" x14ac:dyDescent="0.25">
      <c r="B93" s="7" t="s">
        <v>119</v>
      </c>
      <c r="C93" s="11">
        <v>-569</v>
      </c>
      <c r="D93" s="11">
        <v>-276</v>
      </c>
      <c r="E93" s="11">
        <v>138</v>
      </c>
      <c r="F93" s="11">
        <v>-245</v>
      </c>
      <c r="G93" s="52">
        <f t="shared" ref="G93:M93" si="48">G184</f>
        <v>678.81341399999985</v>
      </c>
      <c r="H93" s="52">
        <f t="shared" si="48"/>
        <v>688.53215729999999</v>
      </c>
      <c r="I93" s="52">
        <f t="shared" si="48"/>
        <v>497.6185389672001</v>
      </c>
      <c r="J93" s="52">
        <f t="shared" si="48"/>
        <v>341.98311559887833</v>
      </c>
      <c r="K93" s="52">
        <f t="shared" si="48"/>
        <v>214.36357915406157</v>
      </c>
      <c r="L93" s="52">
        <f t="shared" si="48"/>
        <v>108.37019370723043</v>
      </c>
      <c r="M93" s="52">
        <f t="shared" si="48"/>
        <v>117.08913616159349</v>
      </c>
    </row>
    <row r="94" spans="2:13" x14ac:dyDescent="0.25">
      <c r="B94" s="7" t="s">
        <v>115</v>
      </c>
      <c r="C94" s="11">
        <v>43</v>
      </c>
      <c r="D94" s="11">
        <v>-330</v>
      </c>
      <c r="E94" s="11">
        <v>-311</v>
      </c>
      <c r="F94" s="11">
        <v>-184</v>
      </c>
      <c r="G94" s="52">
        <f>Assumptions!G31</f>
        <v>-184</v>
      </c>
      <c r="H94" s="52">
        <f>Assumptions!H31</f>
        <v>-184</v>
      </c>
      <c r="I94" s="52">
        <f>Assumptions!I31</f>
        <v>-184</v>
      </c>
      <c r="J94" s="52">
        <f>Assumptions!J31</f>
        <v>-184</v>
      </c>
      <c r="K94" s="52">
        <f>Assumptions!K31</f>
        <v>-184</v>
      </c>
      <c r="L94" s="52">
        <f>Assumptions!L31</f>
        <v>-184</v>
      </c>
      <c r="M94" s="52">
        <f>Assumptions!M31</f>
        <v>-184</v>
      </c>
    </row>
    <row r="95" spans="2:13" x14ac:dyDescent="0.25">
      <c r="B95" s="7" t="s">
        <v>120</v>
      </c>
      <c r="C95" s="11">
        <v>121</v>
      </c>
      <c r="D95" s="11">
        <v>196</v>
      </c>
      <c r="E95" s="11">
        <v>271</v>
      </c>
      <c r="F95" s="11">
        <v>314</v>
      </c>
      <c r="G95" s="52">
        <f>Assumptions!G34</f>
        <v>354.65008699999998</v>
      </c>
      <c r="H95" s="52">
        <f>Assumptions!H34</f>
        <v>397.05390175000002</v>
      </c>
      <c r="I95" s="52">
        <f>Assumptions!I34</f>
        <v>445.97094244560003</v>
      </c>
      <c r="J95" s="52">
        <f>Assumptions!J34</f>
        <v>499.60307763526151</v>
      </c>
      <c r="K95" s="52">
        <f>Assumptions!K34</f>
        <v>555.42080079175287</v>
      </c>
      <c r="L95" s="52">
        <f>Assumptions!L34</f>
        <v>613.42644087444</v>
      </c>
      <c r="M95" s="52">
        <f>Assumptions!M34</f>
        <v>673.37493395989668</v>
      </c>
    </row>
    <row r="96" spans="2:13" x14ac:dyDescent="0.25">
      <c r="B96" s="7"/>
      <c r="C96" s="11"/>
      <c r="D96" s="11"/>
      <c r="E96" s="11"/>
      <c r="F96" s="11"/>
      <c r="G96" s="52"/>
      <c r="H96" s="52"/>
      <c r="I96" s="52"/>
      <c r="J96" s="52"/>
      <c r="K96" s="52"/>
      <c r="L96" s="52"/>
      <c r="M96" s="52"/>
    </row>
    <row r="97" spans="2:13" x14ac:dyDescent="0.25">
      <c r="B97" s="7" t="s">
        <v>113</v>
      </c>
      <c r="C97" s="11">
        <v>-465</v>
      </c>
      <c r="D97" s="11">
        <v>-435</v>
      </c>
      <c r="E97" s="11">
        <v>111</v>
      </c>
      <c r="F97" s="11">
        <v>134</v>
      </c>
      <c r="G97" s="52">
        <f>-(G190-F190)</f>
        <v>-87.978798356164589</v>
      </c>
      <c r="H97" s="52">
        <f t="shared" ref="H97:M97" si="49">-(H190-G190)</f>
        <v>-102.1493639506848</v>
      </c>
      <c r="I97" s="52">
        <f t="shared" si="49"/>
        <v>-140.28512649227378</v>
      </c>
      <c r="J97" s="52">
        <f t="shared" si="49"/>
        <v>-156.83877141836228</v>
      </c>
      <c r="K97" s="52">
        <f t="shared" si="49"/>
        <v>-152.17008240869973</v>
      </c>
      <c r="L97" s="52">
        <f t="shared" si="49"/>
        <v>-148.36583034848218</v>
      </c>
      <c r="M97" s="52">
        <f t="shared" si="49"/>
        <v>-143.66757905411305</v>
      </c>
    </row>
    <row r="98" spans="2:13" x14ac:dyDescent="0.25">
      <c r="B98" s="7" t="s">
        <v>114</v>
      </c>
      <c r="C98" s="11">
        <v>-1657</v>
      </c>
      <c r="D98" s="11">
        <v>-5403</v>
      </c>
      <c r="E98" s="11">
        <v>-2830</v>
      </c>
      <c r="F98" s="11">
        <v>4137</v>
      </c>
      <c r="G98" s="52">
        <f>-(G192-F192)</f>
        <v>1145.9688638693697</v>
      </c>
      <c r="H98" s="52">
        <f t="shared" ref="H98:M98" si="50">-(H192-G192)</f>
        <v>-748.5130135551226</v>
      </c>
      <c r="I98" s="52">
        <f t="shared" si="50"/>
        <v>-1017.6676431067026</v>
      </c>
      <c r="J98" s="52">
        <f t="shared" si="50"/>
        <v>-1136.5323969254714</v>
      </c>
      <c r="K98" s="52">
        <f t="shared" si="50"/>
        <v>-1107.0656690175347</v>
      </c>
      <c r="L98" s="52">
        <f t="shared" si="50"/>
        <v>-1083.5246174349813</v>
      </c>
      <c r="M98" s="52">
        <f t="shared" si="50"/>
        <v>-1053.575190568994</v>
      </c>
    </row>
    <row r="99" spans="2:13" x14ac:dyDescent="0.25">
      <c r="B99" s="7" t="s">
        <v>210</v>
      </c>
      <c r="C99" s="11">
        <v>5118</v>
      </c>
      <c r="D99" s="11">
        <v>2401</v>
      </c>
      <c r="E99" s="11">
        <v>-2577</v>
      </c>
      <c r="F99" s="11">
        <v>-1411</v>
      </c>
      <c r="G99" s="52">
        <f>G197-F197</f>
        <v>1149.0150667745747</v>
      </c>
      <c r="H99" s="52">
        <f t="shared" ref="H99:M99" si="51">H197-G197</f>
        <v>397.81327802609485</v>
      </c>
      <c r="I99" s="52">
        <f t="shared" si="51"/>
        <v>539.81681864021812</v>
      </c>
      <c r="J99" s="52">
        <f t="shared" si="51"/>
        <v>602.86804532462156</v>
      </c>
      <c r="K99" s="52">
        <f t="shared" si="51"/>
        <v>587.23756377915379</v>
      </c>
      <c r="L99" s="52">
        <f t="shared" si="51"/>
        <v>574.75032822752837</v>
      </c>
      <c r="M99" s="52">
        <f t="shared" si="51"/>
        <v>558.86380138312597</v>
      </c>
    </row>
    <row r="100" spans="2:13" x14ac:dyDescent="0.25">
      <c r="B100" s="7" t="s">
        <v>209</v>
      </c>
      <c r="C100" s="11">
        <v>0</v>
      </c>
      <c r="D100" s="11">
        <v>0</v>
      </c>
      <c r="E100" s="11">
        <v>0</v>
      </c>
      <c r="F100" s="11">
        <v>0</v>
      </c>
      <c r="G100" s="52">
        <f>G199-F199</f>
        <v>231.43087237283453</v>
      </c>
      <c r="H100" s="52">
        <f t="shared" ref="H100:M100" si="52">H199-G199</f>
        <v>66.908282001024418</v>
      </c>
      <c r="I100" s="52">
        <f t="shared" si="52"/>
        <v>91.573566174954067</v>
      </c>
      <c r="J100" s="52">
        <f t="shared" si="52"/>
        <v>102.37924698359893</v>
      </c>
      <c r="K100" s="52">
        <f t="shared" si="52"/>
        <v>99.331678701296369</v>
      </c>
      <c r="L100" s="52">
        <f t="shared" si="52"/>
        <v>96.848386733764528</v>
      </c>
      <c r="M100" s="52">
        <f t="shared" si="52"/>
        <v>93.781521153861377</v>
      </c>
    </row>
    <row r="101" spans="2:13" x14ac:dyDescent="0.25">
      <c r="B101" s="7" t="s">
        <v>118</v>
      </c>
      <c r="C101" s="11">
        <v>-149</v>
      </c>
      <c r="D101" s="11">
        <v>-51</v>
      </c>
      <c r="E101" s="11">
        <v>-107</v>
      </c>
      <c r="F101" s="11">
        <v>-25</v>
      </c>
      <c r="G101" s="52">
        <f ca="1">G203-F203</f>
        <v>54.423403601381978</v>
      </c>
      <c r="H101" s="52">
        <f t="shared" ref="H101:M101" ca="1" si="53">H203-G203</f>
        <v>3.23125049942999</v>
      </c>
      <c r="I101" s="52">
        <f t="shared" ca="1" si="53"/>
        <v>4.5374402072932156</v>
      </c>
      <c r="J101" s="52">
        <f t="shared" ca="1" si="53"/>
        <v>5.0228567005769236</v>
      </c>
      <c r="K101" s="52">
        <f t="shared" ca="1" si="53"/>
        <v>4.7856151165513978</v>
      </c>
      <c r="L101" s="52">
        <f t="shared" ca="1" si="53"/>
        <v>4.6244325849939969</v>
      </c>
      <c r="M101" s="52">
        <f t="shared" ca="1" si="53"/>
        <v>4.4398393110752892</v>
      </c>
    </row>
    <row r="102" spans="2:13" x14ac:dyDescent="0.25">
      <c r="B102" s="7" t="s">
        <v>207</v>
      </c>
      <c r="C102" s="54">
        <v>0</v>
      </c>
      <c r="D102" s="54">
        <v>0</v>
      </c>
      <c r="E102" s="54">
        <v>0</v>
      </c>
      <c r="F102" s="54">
        <v>0</v>
      </c>
      <c r="G102" s="53">
        <f ca="1">G201-F201</f>
        <v>162.80097767068082</v>
      </c>
      <c r="H102" s="53">
        <f t="shared" ref="H102:M102" ca="1" si="54">H201-G201</f>
        <v>21.292527792120836</v>
      </c>
      <c r="I102" s="53">
        <f t="shared" ca="1" si="54"/>
        <v>30.013395426579336</v>
      </c>
      <c r="J102" s="53">
        <f t="shared" ca="1" si="54"/>
        <v>33.224236009357696</v>
      </c>
      <c r="K102" s="53">
        <f t="shared" ca="1" si="54"/>
        <v>31.654975556836234</v>
      </c>
      <c r="L102" s="53">
        <f t="shared" ca="1" si="54"/>
        <v>30.588816040791357</v>
      </c>
      <c r="M102" s="53">
        <f t="shared" ca="1" si="54"/>
        <v>29.367803604241203</v>
      </c>
    </row>
    <row r="103" spans="2:13" ht="15.75" thickBot="1" x14ac:dyDescent="0.3">
      <c r="B103" s="7" t="s">
        <v>208</v>
      </c>
      <c r="C103" s="55">
        <f>SUM(C97:C102)</f>
        <v>2847</v>
      </c>
      <c r="D103" s="55">
        <f>SUM(D97:D102)</f>
        <v>-3488</v>
      </c>
      <c r="E103" s="55">
        <f>SUM(E97:E102)</f>
        <v>-5403</v>
      </c>
      <c r="F103" s="55">
        <f>SUM(F97:F102)</f>
        <v>2835</v>
      </c>
      <c r="G103" s="55">
        <f ca="1">SUM(G97:G102)</f>
        <v>2655.6603859326769</v>
      </c>
      <c r="H103" s="55">
        <f t="shared" ref="H103:M103" ca="1" si="55">SUM(H97:H102)</f>
        <v>-361.41703918713733</v>
      </c>
      <c r="I103" s="55">
        <f t="shared" ca="1" si="55"/>
        <v>-492.01154914993162</v>
      </c>
      <c r="J103" s="55">
        <f t="shared" ca="1" si="55"/>
        <v>-549.87678332567862</v>
      </c>
      <c r="K103" s="55">
        <f t="shared" ca="1" si="55"/>
        <v>-536.2259182723966</v>
      </c>
      <c r="L103" s="55">
        <f t="shared" ca="1" si="55"/>
        <v>-525.07848419638526</v>
      </c>
      <c r="M103" s="55">
        <f t="shared" ca="1" si="55"/>
        <v>-510.78980417080322</v>
      </c>
    </row>
    <row r="104" spans="2:13" ht="15.75" thickTop="1" x14ac:dyDescent="0.25"/>
    <row r="105" spans="2:13" x14ac:dyDescent="0.25">
      <c r="B105" s="16" t="s">
        <v>110</v>
      </c>
      <c r="C105" s="20">
        <f>SUM(C87:C102)</f>
        <v>18839</v>
      </c>
      <c r="D105" s="20">
        <f t="shared" ref="D105:M105" si="56">SUM(D87:D102)</f>
        <v>16571</v>
      </c>
      <c r="E105" s="20">
        <f t="shared" si="56"/>
        <v>14615</v>
      </c>
      <c r="F105" s="20">
        <f t="shared" si="56"/>
        <v>21172</v>
      </c>
      <c r="G105" s="20">
        <f ca="1">SUM(G87:G102)</f>
        <v>22734.772785243473</v>
      </c>
      <c r="H105" s="20">
        <f t="shared" ca="1" si="56"/>
        <v>20417.062651673761</v>
      </c>
      <c r="I105" s="20">
        <f t="shared" ca="1" si="56"/>
        <v>20995.576912933459</v>
      </c>
      <c r="J105" s="20">
        <f t="shared" ca="1" si="56"/>
        <v>21767.577330181273</v>
      </c>
      <c r="K105" s="20">
        <f t="shared" ca="1" si="56"/>
        <v>22612.805222957664</v>
      </c>
      <c r="L105" s="20">
        <f t="shared" ca="1" si="56"/>
        <v>23461.909950951274</v>
      </c>
      <c r="M105" s="20">
        <f t="shared" ca="1" si="56"/>
        <v>24409.594677783269</v>
      </c>
    </row>
    <row r="106" spans="2:13" x14ac:dyDescent="0.25">
      <c r="B106" s="1"/>
    </row>
    <row r="107" spans="2:13" x14ac:dyDescent="0.25">
      <c r="B107" s="16" t="s">
        <v>122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</row>
    <row r="108" spans="2:13" x14ac:dyDescent="0.25">
      <c r="B108" s="7" t="s">
        <v>123</v>
      </c>
      <c r="C108" s="11">
        <v>-2463</v>
      </c>
      <c r="D108" s="11">
        <v>-2566</v>
      </c>
      <c r="E108" s="11">
        <v>-3119</v>
      </c>
      <c r="F108" s="11">
        <v>-3226</v>
      </c>
      <c r="G108" s="52">
        <f>-Assumptions!G26*'Annual Model'!G10</f>
        <v>-3083.9138000000003</v>
      </c>
      <c r="H108" s="52">
        <f>-Assumptions!H26*'Annual Model'!H10</f>
        <v>-3176.4312140000002</v>
      </c>
      <c r="I108" s="52">
        <f>-Assumptions!I26*'Annual Model'!I10</f>
        <v>-3303.4884625599998</v>
      </c>
      <c r="J108" s="52">
        <f>-Assumptions!J26*'Annual Model'!J10</f>
        <v>-3445.5384664500798</v>
      </c>
      <c r="K108" s="52">
        <f>-Assumptions!K26*'Annual Model'!K10</f>
        <v>-3583.360005108083</v>
      </c>
      <c r="L108" s="52">
        <f>-Assumptions!L26*'Annual Model'!L10</f>
        <v>-3717.7360052996369</v>
      </c>
      <c r="M108" s="52">
        <f>-Assumptions!M26*'Annual Model'!M10</f>
        <v>-3847.8567654851236</v>
      </c>
    </row>
    <row r="109" spans="2:13" x14ac:dyDescent="0.25">
      <c r="B109" s="7" t="s">
        <v>143</v>
      </c>
      <c r="C109" s="11">
        <v>-7780</v>
      </c>
      <c r="D109" s="11">
        <v>-421</v>
      </c>
      <c r="E109" s="11">
        <v>0</v>
      </c>
      <c r="F109" s="11">
        <v>-1514</v>
      </c>
      <c r="G109" s="52">
        <f>Assumptions!G37</f>
        <v>0</v>
      </c>
      <c r="H109" s="52">
        <f>Assumptions!H37</f>
        <v>0</v>
      </c>
      <c r="I109" s="52">
        <f>Assumptions!I37</f>
        <v>0</v>
      </c>
      <c r="J109" s="52">
        <f>Assumptions!J37</f>
        <v>0</v>
      </c>
      <c r="K109" s="52">
        <f>Assumptions!K37</f>
        <v>0</v>
      </c>
      <c r="L109" s="52">
        <f>Assumptions!L37</f>
        <v>0</v>
      </c>
      <c r="M109" s="52">
        <f>Assumptions!M37</f>
        <v>0</v>
      </c>
    </row>
    <row r="110" spans="2:13" x14ac:dyDescent="0.25">
      <c r="B110" s="7" t="s">
        <v>124</v>
      </c>
      <c r="E110" s="11"/>
      <c r="G110" s="52">
        <f>-Assumptions!G38</f>
        <v>0</v>
      </c>
      <c r="H110" s="52">
        <f>-Assumptions!H38</f>
        <v>0</v>
      </c>
      <c r="I110" s="52">
        <f>-Assumptions!I38</f>
        <v>0</v>
      </c>
      <c r="J110" s="52">
        <f>-Assumptions!J38</f>
        <v>0</v>
      </c>
      <c r="K110" s="52">
        <f>-Assumptions!K38</f>
        <v>0</v>
      </c>
      <c r="L110" s="52">
        <f>-Assumptions!L38</f>
        <v>0</v>
      </c>
      <c r="M110" s="52">
        <f>-Assumptions!M38</f>
        <v>0</v>
      </c>
    </row>
    <row r="111" spans="2:13" x14ac:dyDescent="0.25">
      <c r="B111" s="7" t="s">
        <v>125</v>
      </c>
      <c r="C111" s="11">
        <v>73</v>
      </c>
      <c r="D111" s="11">
        <v>18</v>
      </c>
      <c r="E111" s="11">
        <v>-21</v>
      </c>
      <c r="F111" s="11">
        <v>11</v>
      </c>
      <c r="G111" s="52">
        <f>Assumptions!G39</f>
        <v>10</v>
      </c>
      <c r="H111" s="52">
        <f>Assumptions!H39</f>
        <v>10</v>
      </c>
      <c r="I111" s="52">
        <f>Assumptions!I39</f>
        <v>10</v>
      </c>
      <c r="J111" s="52">
        <f>Assumptions!J39</f>
        <v>10</v>
      </c>
      <c r="K111" s="52">
        <f>Assumptions!K39</f>
        <v>10</v>
      </c>
      <c r="L111" s="52">
        <f>Assumptions!L39</f>
        <v>10</v>
      </c>
      <c r="M111" s="52">
        <f>Assumptions!M39</f>
        <v>10</v>
      </c>
    </row>
    <row r="112" spans="2:13" x14ac:dyDescent="0.25">
      <c r="B112" s="16" t="s">
        <v>126</v>
      </c>
      <c r="C112" s="20">
        <f>SUM(C108:C111)</f>
        <v>-10170</v>
      </c>
      <c r="D112" s="20">
        <f>SUM(D108:D111)</f>
        <v>-2969</v>
      </c>
      <c r="E112" s="20">
        <f>SUM(E108:E111)</f>
        <v>-3140</v>
      </c>
      <c r="F112" s="20">
        <f>SUM(F108:F111)</f>
        <v>-4729</v>
      </c>
      <c r="G112" s="20">
        <f t="shared" ref="G112:M112" si="57">SUM(G108:G111)</f>
        <v>-3073.9138000000003</v>
      </c>
      <c r="H112" s="20">
        <f t="shared" si="57"/>
        <v>-3166.4312140000002</v>
      </c>
      <c r="I112" s="20">
        <f t="shared" si="57"/>
        <v>-3293.4884625599998</v>
      </c>
      <c r="J112" s="20">
        <f t="shared" si="57"/>
        <v>-3435.5384664500798</v>
      </c>
      <c r="K112" s="20">
        <f t="shared" si="57"/>
        <v>-3573.360005108083</v>
      </c>
      <c r="L112" s="20">
        <f t="shared" si="57"/>
        <v>-3707.7360052996369</v>
      </c>
      <c r="M112" s="20">
        <f t="shared" si="57"/>
        <v>-3837.8567654851236</v>
      </c>
    </row>
    <row r="113" spans="2:13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</row>
    <row r="114" spans="2:13" x14ac:dyDescent="0.25">
      <c r="B114" s="16" t="s">
        <v>127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</row>
    <row r="115" spans="2:13" x14ac:dyDescent="0.25">
      <c r="B115" s="7" t="s">
        <v>144</v>
      </c>
      <c r="C115" s="11">
        <v>-974</v>
      </c>
      <c r="D115" s="11">
        <v>1035</v>
      </c>
      <c r="E115" s="11">
        <v>-1035</v>
      </c>
      <c r="F115" s="11">
        <v>0</v>
      </c>
      <c r="G115" s="52">
        <f>G232+G233</f>
        <v>0</v>
      </c>
      <c r="H115" s="52">
        <f t="shared" ref="H115:M115" si="58">H232+H233</f>
        <v>0</v>
      </c>
      <c r="I115" s="52">
        <f t="shared" si="58"/>
        <v>0</v>
      </c>
      <c r="J115" s="52">
        <f t="shared" si="58"/>
        <v>0</v>
      </c>
      <c r="K115" s="52">
        <f t="shared" si="58"/>
        <v>0</v>
      </c>
      <c r="L115" s="52">
        <f t="shared" si="58"/>
        <v>0</v>
      </c>
      <c r="M115" s="52">
        <f t="shared" si="58"/>
        <v>0</v>
      </c>
    </row>
    <row r="116" spans="2:13" x14ac:dyDescent="0.25">
      <c r="B116" s="7" t="s">
        <v>128</v>
      </c>
      <c r="C116" s="11">
        <v>7933</v>
      </c>
      <c r="D116" s="11">
        <v>2979</v>
      </c>
      <c r="E116" s="11">
        <v>6942</v>
      </c>
      <c r="F116" s="11">
        <v>1995</v>
      </c>
      <c r="G116" s="52">
        <f>G256+G257</f>
        <v>-1100</v>
      </c>
      <c r="H116" s="52">
        <f t="shared" ref="H116:M116" si="59">H256+H257</f>
        <v>-2750</v>
      </c>
      <c r="I116" s="52">
        <f t="shared" si="59"/>
        <v>-3050</v>
      </c>
      <c r="J116" s="52">
        <f t="shared" si="59"/>
        <v>-2500</v>
      </c>
      <c r="K116" s="52">
        <f t="shared" si="59"/>
        <v>-2500</v>
      </c>
      <c r="L116" s="52">
        <f t="shared" si="59"/>
        <v>-2500</v>
      </c>
      <c r="M116" s="52">
        <f t="shared" si="59"/>
        <v>-2500</v>
      </c>
    </row>
    <row r="117" spans="2:13" x14ac:dyDescent="0.25">
      <c r="B117" s="7" t="s">
        <v>141</v>
      </c>
      <c r="C117" s="11">
        <v>-2872</v>
      </c>
      <c r="D117" s="11">
        <v>-1532</v>
      </c>
      <c r="E117" s="11">
        <v>-2491</v>
      </c>
      <c r="F117" s="11">
        <v>-1271</v>
      </c>
      <c r="G117" s="52">
        <f>G256+G257</f>
        <v>-1100</v>
      </c>
      <c r="H117" s="52">
        <f t="shared" ref="H117:M117" si="60">H256+H257</f>
        <v>-2750</v>
      </c>
      <c r="I117" s="52">
        <f t="shared" si="60"/>
        <v>-3050</v>
      </c>
      <c r="J117" s="52">
        <f t="shared" si="60"/>
        <v>-2500</v>
      </c>
      <c r="K117" s="52">
        <f t="shared" si="60"/>
        <v>-2500</v>
      </c>
      <c r="L117" s="52">
        <f t="shared" si="60"/>
        <v>-2500</v>
      </c>
      <c r="M117" s="52">
        <f t="shared" si="60"/>
        <v>-2500</v>
      </c>
    </row>
    <row r="118" spans="2:13" x14ac:dyDescent="0.25">
      <c r="B118" s="7" t="s">
        <v>241</v>
      </c>
      <c r="C118" s="11"/>
      <c r="D118" s="11"/>
      <c r="E118" s="11"/>
      <c r="F118" s="11"/>
      <c r="G118" s="52">
        <f>G224+G225</f>
        <v>0</v>
      </c>
      <c r="H118" s="52">
        <f t="shared" ref="H118:M118" si="61">H224+H225</f>
        <v>0</v>
      </c>
      <c r="I118" s="52">
        <f t="shared" si="61"/>
        <v>0</v>
      </c>
      <c r="J118" s="52">
        <f t="shared" si="61"/>
        <v>0</v>
      </c>
      <c r="K118" s="52">
        <f t="shared" si="61"/>
        <v>0</v>
      </c>
      <c r="L118" s="52">
        <f t="shared" si="61"/>
        <v>0</v>
      </c>
      <c r="M118" s="52">
        <f t="shared" si="61"/>
        <v>0</v>
      </c>
    </row>
    <row r="119" spans="2:13" x14ac:dyDescent="0.25">
      <c r="B119" s="7" t="s">
        <v>242</v>
      </c>
      <c r="C119" s="11"/>
      <c r="D119" s="11"/>
      <c r="E119" s="11"/>
      <c r="F119" s="11"/>
      <c r="G119" s="52">
        <f>G248+G249</f>
        <v>0</v>
      </c>
      <c r="H119" s="52">
        <f t="shared" ref="H119:M119" si="62">H248+H249</f>
        <v>0</v>
      </c>
      <c r="I119" s="52">
        <f t="shared" si="62"/>
        <v>0</v>
      </c>
      <c r="J119" s="52">
        <f t="shared" si="62"/>
        <v>0</v>
      </c>
      <c r="K119" s="52">
        <f t="shared" si="62"/>
        <v>0</v>
      </c>
      <c r="L119" s="52">
        <f t="shared" si="62"/>
        <v>0</v>
      </c>
      <c r="M119" s="52">
        <f t="shared" si="62"/>
        <v>0</v>
      </c>
    </row>
    <row r="120" spans="2:13" x14ac:dyDescent="0.25">
      <c r="B120" s="7" t="s">
        <v>243</v>
      </c>
      <c r="C120" s="11"/>
      <c r="D120" s="11"/>
      <c r="E120" s="11"/>
      <c r="F120" s="11"/>
      <c r="G120" s="52">
        <f>G264+G265</f>
        <v>0</v>
      </c>
      <c r="H120" s="52">
        <f t="shared" ref="H120:M120" si="63">H264+H265</f>
        <v>0</v>
      </c>
      <c r="I120" s="52">
        <f t="shared" si="63"/>
        <v>0</v>
      </c>
      <c r="J120" s="52">
        <f t="shared" si="63"/>
        <v>0</v>
      </c>
      <c r="K120" s="52">
        <f t="shared" si="63"/>
        <v>0</v>
      </c>
      <c r="L120" s="52">
        <f t="shared" si="63"/>
        <v>0</v>
      </c>
      <c r="M120" s="52">
        <f t="shared" si="63"/>
        <v>0</v>
      </c>
    </row>
    <row r="121" spans="2:13" x14ac:dyDescent="0.25">
      <c r="B121" s="7" t="s">
        <v>244</v>
      </c>
      <c r="C121" s="11"/>
      <c r="D121" s="11"/>
      <c r="E121" s="11"/>
      <c r="F121" s="11"/>
      <c r="G121" s="52">
        <f>G240+G241</f>
        <v>0</v>
      </c>
      <c r="H121" s="52">
        <f t="shared" ref="H121:M121" si="64">H240+H241</f>
        <v>0</v>
      </c>
      <c r="I121" s="52">
        <f t="shared" si="64"/>
        <v>0</v>
      </c>
      <c r="J121" s="52">
        <f t="shared" si="64"/>
        <v>0</v>
      </c>
      <c r="K121" s="52">
        <f t="shared" si="64"/>
        <v>0</v>
      </c>
      <c r="L121" s="52">
        <f t="shared" si="64"/>
        <v>0</v>
      </c>
      <c r="M121" s="52">
        <f t="shared" si="64"/>
        <v>0</v>
      </c>
    </row>
    <row r="122" spans="2:13" x14ac:dyDescent="0.25">
      <c r="B122" s="7" t="s">
        <v>129</v>
      </c>
      <c r="C122" s="11">
        <v>-791</v>
      </c>
      <c r="D122" s="11">
        <v>-14809</v>
      </c>
      <c r="E122" s="11">
        <v>-6696</v>
      </c>
      <c r="F122" s="11">
        <v>-7951</v>
      </c>
      <c r="G122" s="52">
        <f>Assumptions!G41</f>
        <v>-3500</v>
      </c>
      <c r="H122" s="52">
        <f>Assumptions!H41</f>
        <v>-3500</v>
      </c>
      <c r="I122" s="52">
        <f>Assumptions!I41</f>
        <v>-3500</v>
      </c>
      <c r="J122" s="52">
        <f>Assumptions!J41</f>
        <v>-3500</v>
      </c>
      <c r="K122" s="52">
        <f>Assumptions!K41</f>
        <v>-3500</v>
      </c>
      <c r="L122" s="52">
        <f>Assumptions!L41</f>
        <v>-3500</v>
      </c>
      <c r="M122" s="52">
        <f>Assumptions!M41</f>
        <v>-3500</v>
      </c>
    </row>
    <row r="123" spans="2:13" x14ac:dyDescent="0.25">
      <c r="B123" s="7" t="s">
        <v>130</v>
      </c>
      <c r="C123" s="11">
        <v>326</v>
      </c>
      <c r="D123" s="11">
        <v>337</v>
      </c>
      <c r="E123" s="11">
        <v>264</v>
      </c>
      <c r="F123" s="11">
        <v>323</v>
      </c>
      <c r="G123" s="52">
        <f>Assumptions!G42</f>
        <v>312.5</v>
      </c>
      <c r="H123" s="52">
        <f>Assumptions!H42</f>
        <v>312.5</v>
      </c>
      <c r="I123" s="52">
        <f>Assumptions!I42</f>
        <v>312.5</v>
      </c>
      <c r="J123" s="52">
        <f>Assumptions!J42</f>
        <v>312.5</v>
      </c>
      <c r="K123" s="52">
        <f>Assumptions!K42</f>
        <v>312.5</v>
      </c>
      <c r="L123" s="52">
        <f>Assumptions!L42</f>
        <v>312.5</v>
      </c>
      <c r="M123" s="52">
        <f>Assumptions!M42</f>
        <v>312.5</v>
      </c>
    </row>
    <row r="124" spans="2:13" x14ac:dyDescent="0.25">
      <c r="B124" s="7" t="s">
        <v>131</v>
      </c>
      <c r="C124" s="11">
        <v>-6451</v>
      </c>
      <c r="D124" s="11">
        <v>-6985</v>
      </c>
      <c r="E124" s="11">
        <v>-7789</v>
      </c>
      <c r="F124" s="11">
        <v>-8383</v>
      </c>
      <c r="G124" s="52">
        <f>Assumptions!G43</f>
        <v>-8955</v>
      </c>
      <c r="H124" s="52">
        <f>Assumptions!H43</f>
        <v>-9076.8000000000011</v>
      </c>
      <c r="I124" s="52">
        <f>Assumptions!I43</f>
        <v>-9207</v>
      </c>
      <c r="J124" s="52">
        <f>Assumptions!J43</f>
        <v>-9336.5999999999985</v>
      </c>
      <c r="K124" s="52">
        <f>Assumptions!K43</f>
        <v>-9367</v>
      </c>
      <c r="L124" s="52">
        <f>Assumptions!L43</f>
        <v>-9416.3000000000011</v>
      </c>
      <c r="M124" s="52">
        <f>Assumptions!M43</f>
        <v>-9446.4</v>
      </c>
    </row>
    <row r="125" spans="2:13" x14ac:dyDescent="0.25">
      <c r="B125" s="7" t="s">
        <v>132</v>
      </c>
      <c r="C125" s="11">
        <v>-154</v>
      </c>
      <c r="D125" s="11">
        <v>-145</v>
      </c>
      <c r="E125" s="11">
        <v>-188</v>
      </c>
      <c r="F125" s="11">
        <v>-156</v>
      </c>
      <c r="G125" s="52">
        <f>Assumptions!G46</f>
        <v>-156</v>
      </c>
      <c r="H125" s="52">
        <f>Assumptions!H46</f>
        <v>-156</v>
      </c>
      <c r="I125" s="52">
        <f>Assumptions!I46</f>
        <v>-156</v>
      </c>
      <c r="J125" s="52">
        <f>Assumptions!J46</f>
        <v>-156</v>
      </c>
      <c r="K125" s="52">
        <f>Assumptions!K46</f>
        <v>-156</v>
      </c>
      <c r="L125" s="52">
        <f>Assumptions!L46</f>
        <v>-156</v>
      </c>
      <c r="M125" s="52">
        <f>Assumptions!M46</f>
        <v>-156</v>
      </c>
    </row>
    <row r="126" spans="2:13" x14ac:dyDescent="0.25">
      <c r="B126" s="16" t="s">
        <v>133</v>
      </c>
      <c r="C126" s="20">
        <f>SUM(C115:C125)</f>
        <v>-2983</v>
      </c>
      <c r="D126" s="20">
        <f>SUM(D115:D125)</f>
        <v>-19120</v>
      </c>
      <c r="E126" s="20">
        <f>SUM(E115:E125)</f>
        <v>-10993</v>
      </c>
      <c r="F126" s="20">
        <f>SUM(F115:F125)</f>
        <v>-15443</v>
      </c>
      <c r="G126" s="20">
        <f>SUM(G115:G125)</f>
        <v>-14498.5</v>
      </c>
      <c r="H126" s="20">
        <f t="shared" ref="H126:M126" si="65">SUM(H115:H125)</f>
        <v>-17920.300000000003</v>
      </c>
      <c r="I126" s="20">
        <f t="shared" si="65"/>
        <v>-18650.5</v>
      </c>
      <c r="J126" s="20">
        <f t="shared" si="65"/>
        <v>-17680.099999999999</v>
      </c>
      <c r="K126" s="20">
        <f t="shared" si="65"/>
        <v>-17710.5</v>
      </c>
      <c r="L126" s="20">
        <f t="shared" si="65"/>
        <v>-17759.800000000003</v>
      </c>
      <c r="M126" s="20">
        <f t="shared" si="65"/>
        <v>-17789.900000000001</v>
      </c>
    </row>
    <row r="127" spans="2:13" x14ac:dyDescent="0.25">
      <c r="B127" s="7"/>
    </row>
    <row r="128" spans="2:13" x14ac:dyDescent="0.25">
      <c r="B128" s="7" t="s">
        <v>134</v>
      </c>
      <c r="C128" s="52">
        <f>C105+C112+C126</f>
        <v>5686</v>
      </c>
      <c r="D128" s="52">
        <f>D105+D112+D126</f>
        <v>-5518</v>
      </c>
      <c r="E128" s="52">
        <f>E105+E112+E126</f>
        <v>482</v>
      </c>
      <c r="F128" s="52">
        <f>F105+F112+F126</f>
        <v>1000</v>
      </c>
      <c r="G128" s="52">
        <f ca="1">G105+G112+G126</f>
        <v>5162.3589852434743</v>
      </c>
      <c r="H128" s="52">
        <f t="shared" ref="H128:M128" ca="1" si="66">H105+H112+H126</f>
        <v>-669.66856232624195</v>
      </c>
      <c r="I128" s="52">
        <f t="shared" ca="1" si="66"/>
        <v>-948.41154962654036</v>
      </c>
      <c r="J128" s="52">
        <f t="shared" ca="1" si="66"/>
        <v>651.93886373119312</v>
      </c>
      <c r="K128" s="52">
        <f t="shared" ca="1" si="66"/>
        <v>1328.9452178495812</v>
      </c>
      <c r="L128" s="52">
        <f t="shared" ca="1" si="66"/>
        <v>1994.3739456516341</v>
      </c>
      <c r="M128" s="52">
        <f t="shared" ca="1" si="66"/>
        <v>2781.8379122981423</v>
      </c>
    </row>
    <row r="129" spans="2:13" x14ac:dyDescent="0.25">
      <c r="B129" s="7" t="s">
        <v>135</v>
      </c>
      <c r="C129" s="11">
        <v>76</v>
      </c>
      <c r="D129" s="11">
        <v>-34</v>
      </c>
      <c r="E129" s="11">
        <v>-68</v>
      </c>
      <c r="F129" s="11">
        <v>3</v>
      </c>
      <c r="G129" s="52">
        <f>Assumptions!G48</f>
        <v>0</v>
      </c>
      <c r="H129" s="52">
        <f>Assumptions!H48</f>
        <v>0</v>
      </c>
      <c r="I129" s="52">
        <f>Assumptions!I48</f>
        <v>0</v>
      </c>
      <c r="J129" s="52">
        <f>Assumptions!J48</f>
        <v>0</v>
      </c>
      <c r="K129" s="52">
        <f>Assumptions!K48</f>
        <v>0</v>
      </c>
      <c r="L129" s="52">
        <f>Assumptions!L48</f>
        <v>0</v>
      </c>
      <c r="M129" s="52">
        <f>Assumptions!M48</f>
        <v>0</v>
      </c>
    </row>
    <row r="130" spans="2:13" x14ac:dyDescent="0.25">
      <c r="B130" s="7" t="s">
        <v>136</v>
      </c>
      <c r="C130" s="54">
        <v>2133</v>
      </c>
      <c r="D130" s="53">
        <f>C131</f>
        <v>7895</v>
      </c>
      <c r="E130" s="53">
        <f>D131</f>
        <v>2343</v>
      </c>
      <c r="F130" s="53">
        <f>E131</f>
        <v>2757</v>
      </c>
      <c r="G130" s="53">
        <f>F131</f>
        <v>3760</v>
      </c>
      <c r="H130" s="53">
        <f t="shared" ref="H130:M130" ca="1" si="67">G131</f>
        <v>8922.3589852434743</v>
      </c>
      <c r="I130" s="53">
        <f t="shared" ca="1" si="67"/>
        <v>8252.6904229172324</v>
      </c>
      <c r="J130" s="53">
        <f t="shared" ca="1" si="67"/>
        <v>7304.278873290692</v>
      </c>
      <c r="K130" s="53">
        <f t="shared" ca="1" si="67"/>
        <v>7956.2177370218851</v>
      </c>
      <c r="L130" s="53">
        <f t="shared" ca="1" si="67"/>
        <v>9285.1629548714664</v>
      </c>
      <c r="M130" s="53">
        <f t="shared" ca="1" si="67"/>
        <v>11279.5369005231</v>
      </c>
    </row>
    <row r="131" spans="2:13" ht="15.75" thickBot="1" x14ac:dyDescent="0.3">
      <c r="B131" s="7" t="s">
        <v>137</v>
      </c>
      <c r="C131" s="55">
        <f>SUM(C128:C130)</f>
        <v>7895</v>
      </c>
      <c r="D131" s="55">
        <f>SUM(D128:D130)</f>
        <v>2343</v>
      </c>
      <c r="E131" s="55">
        <f>SUM(E128:E130)</f>
        <v>2757</v>
      </c>
      <c r="F131" s="55">
        <f>SUM(F128:F130)</f>
        <v>3760</v>
      </c>
      <c r="G131" s="55">
        <f ca="1">SUM(G128:G130)</f>
        <v>8922.3589852434743</v>
      </c>
      <c r="H131" s="55">
        <f t="shared" ref="H131:M131" ca="1" si="68">SUM(H128:H130)</f>
        <v>8252.6904229172324</v>
      </c>
      <c r="I131" s="55">
        <f t="shared" ca="1" si="68"/>
        <v>7304.278873290692</v>
      </c>
      <c r="J131" s="55">
        <f t="shared" ca="1" si="68"/>
        <v>7956.2177370218851</v>
      </c>
      <c r="K131" s="55">
        <f t="shared" ca="1" si="68"/>
        <v>9285.1629548714664</v>
      </c>
      <c r="L131" s="55">
        <f t="shared" ca="1" si="68"/>
        <v>11279.5369005231</v>
      </c>
      <c r="M131" s="55">
        <f t="shared" ca="1" si="68"/>
        <v>14061.374812821243</v>
      </c>
    </row>
    <row r="132" spans="2:13" ht="15.75" thickTop="1" x14ac:dyDescent="0.25">
      <c r="B132" s="7"/>
      <c r="D132" s="79"/>
      <c r="E132" s="79"/>
      <c r="F132" s="79"/>
      <c r="G132" s="79"/>
      <c r="H132" s="79"/>
      <c r="I132" s="79"/>
      <c r="J132" s="79"/>
      <c r="K132" s="79"/>
      <c r="L132" s="79"/>
      <c r="M132" s="79"/>
    </row>
    <row r="133" spans="2:13" x14ac:dyDescent="0.25">
      <c r="B133" s="7" t="s">
        <v>240</v>
      </c>
      <c r="G133" s="52">
        <f ca="1">G105+G112+G122+G123+G124+G125</f>
        <v>7362.3589852434743</v>
      </c>
      <c r="H133" s="52">
        <f t="shared" ref="H133:M133" ca="1" si="69">H105+H112+H122+H123+H124+H125</f>
        <v>4830.3314376737599</v>
      </c>
      <c r="I133" s="52">
        <f t="shared" ca="1" si="69"/>
        <v>5151.5884503734596</v>
      </c>
      <c r="J133" s="52">
        <f t="shared" ca="1" si="69"/>
        <v>5651.9388637311931</v>
      </c>
      <c r="K133" s="52">
        <f t="shared" ca="1" si="69"/>
        <v>6328.9452178495812</v>
      </c>
      <c r="L133" s="52">
        <f t="shared" ca="1" si="69"/>
        <v>6994.3739456516359</v>
      </c>
      <c r="M133" s="52">
        <f t="shared" ca="1" si="69"/>
        <v>7781.8379122981441</v>
      </c>
    </row>
    <row r="134" spans="2:13" x14ac:dyDescent="0.25">
      <c r="B134" s="7"/>
    </row>
    <row r="135" spans="2:13" x14ac:dyDescent="0.25">
      <c r="B135" s="2"/>
    </row>
    <row r="136" spans="2:13" x14ac:dyDescent="0.25">
      <c r="B136" s="5" t="s">
        <v>107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spans="2:13" x14ac:dyDescent="0.25">
      <c r="B137" s="2"/>
    </row>
    <row r="138" spans="2:13" x14ac:dyDescent="0.25">
      <c r="B138" s="2" t="s">
        <v>186</v>
      </c>
      <c r="C138" s="52">
        <f>C88</f>
        <v>2519</v>
      </c>
      <c r="D138" s="52">
        <f t="shared" ref="D138:F138" si="70">D88</f>
        <v>2862</v>
      </c>
      <c r="E138" s="52">
        <f t="shared" si="70"/>
        <v>2975</v>
      </c>
      <c r="F138" s="52">
        <f t="shared" si="70"/>
        <v>3247</v>
      </c>
      <c r="G138" s="51"/>
    </row>
    <row r="139" spans="2:13" x14ac:dyDescent="0.25">
      <c r="B139" s="8" t="s">
        <v>187</v>
      </c>
      <c r="D139" s="12">
        <f>D138/C138-1</f>
        <v>0.1361651448987693</v>
      </c>
      <c r="E139" s="12">
        <f t="shared" ref="E139:F139" si="71">E138/D138-1</f>
        <v>3.9482879105520619E-2</v>
      </c>
      <c r="F139" s="12">
        <f t="shared" si="71"/>
        <v>9.1428571428571415E-2</v>
      </c>
      <c r="G139" s="58"/>
    </row>
    <row r="140" spans="2:13" x14ac:dyDescent="0.25">
      <c r="B140" s="2"/>
    </row>
    <row r="141" spans="2:13" x14ac:dyDescent="0.25">
      <c r="B141" s="1" t="s">
        <v>162</v>
      </c>
      <c r="G141" s="52">
        <f>F44+F45</f>
        <v>32572</v>
      </c>
    </row>
    <row r="142" spans="2:13" x14ac:dyDescent="0.25">
      <c r="B142" s="1" t="s">
        <v>163</v>
      </c>
      <c r="G142" s="52">
        <f>-G108</f>
        <v>3083.9138000000003</v>
      </c>
      <c r="H142" s="52">
        <f t="shared" ref="H142:M142" si="72">-H108</f>
        <v>3176.4312140000002</v>
      </c>
      <c r="I142" s="52">
        <f t="shared" si="72"/>
        <v>3303.4884625599998</v>
      </c>
      <c r="J142" s="52">
        <f t="shared" si="72"/>
        <v>3445.5384664500798</v>
      </c>
      <c r="K142" s="52">
        <f t="shared" si="72"/>
        <v>3583.360005108083</v>
      </c>
      <c r="L142" s="52">
        <f t="shared" si="72"/>
        <v>3717.7360052996369</v>
      </c>
      <c r="M142" s="52">
        <f t="shared" si="72"/>
        <v>3847.8567654851236</v>
      </c>
    </row>
    <row r="143" spans="2:13" x14ac:dyDescent="0.25">
      <c r="B143" s="2"/>
    </row>
    <row r="144" spans="2:13" x14ac:dyDescent="0.25">
      <c r="B144" s="1" t="s">
        <v>164</v>
      </c>
    </row>
    <row r="145" spans="2:13" x14ac:dyDescent="0.25">
      <c r="B145" s="7" t="s">
        <v>165</v>
      </c>
    </row>
    <row r="146" spans="2:13" x14ac:dyDescent="0.25">
      <c r="B146" s="56" t="s">
        <v>166</v>
      </c>
      <c r="G146" s="11">
        <v>10</v>
      </c>
    </row>
    <row r="147" spans="2:13" x14ac:dyDescent="0.25">
      <c r="B147" s="56" t="s">
        <v>167</v>
      </c>
      <c r="G147" s="11">
        <v>20</v>
      </c>
      <c r="H147" s="11">
        <v>20</v>
      </c>
      <c r="I147" s="11">
        <v>20</v>
      </c>
      <c r="J147" s="11">
        <v>20</v>
      </c>
      <c r="K147" s="11">
        <v>20</v>
      </c>
      <c r="L147" s="11">
        <v>20</v>
      </c>
      <c r="M147" s="11">
        <v>20</v>
      </c>
    </row>
    <row r="148" spans="2:13" x14ac:dyDescent="0.25">
      <c r="B148" s="1" t="s">
        <v>168</v>
      </c>
    </row>
    <row r="149" spans="2:13" x14ac:dyDescent="0.25">
      <c r="B149" s="7" t="s">
        <v>169</v>
      </c>
      <c r="G149" s="52">
        <f>$G$141/$G$146</f>
        <v>3257.2</v>
      </c>
      <c r="H149" s="52">
        <f>$G$141/$G$146</f>
        <v>3257.2</v>
      </c>
      <c r="I149" s="52">
        <f t="shared" ref="I149:M149" si="73">$G$141/$G$146</f>
        <v>3257.2</v>
      </c>
      <c r="J149" s="52">
        <f t="shared" si="73"/>
        <v>3257.2</v>
      </c>
      <c r="K149" s="52">
        <f t="shared" si="73"/>
        <v>3257.2</v>
      </c>
      <c r="L149" s="52">
        <f t="shared" si="73"/>
        <v>3257.2</v>
      </c>
      <c r="M149" s="52">
        <f t="shared" si="73"/>
        <v>3257.2</v>
      </c>
    </row>
    <row r="150" spans="2:13" x14ac:dyDescent="0.25">
      <c r="B150" s="7" t="s">
        <v>182</v>
      </c>
      <c r="G150" s="52">
        <f>$G$142/$G$147</f>
        <v>154.19569000000001</v>
      </c>
      <c r="H150" s="52">
        <f>$G$142/$G$147</f>
        <v>154.19569000000001</v>
      </c>
      <c r="I150" s="52">
        <f>$G$142/$G$147</f>
        <v>154.19569000000001</v>
      </c>
      <c r="J150" s="52">
        <f t="shared" ref="J150:M150" si="74">$G$142/$G$147</f>
        <v>154.19569000000001</v>
      </c>
      <c r="K150" s="52">
        <f t="shared" si="74"/>
        <v>154.19569000000001</v>
      </c>
      <c r="L150" s="52">
        <f t="shared" si="74"/>
        <v>154.19569000000001</v>
      </c>
      <c r="M150" s="52">
        <f t="shared" si="74"/>
        <v>154.19569000000001</v>
      </c>
    </row>
    <row r="151" spans="2:13" x14ac:dyDescent="0.25">
      <c r="B151" s="7" t="s">
        <v>170</v>
      </c>
      <c r="G151" s="52"/>
      <c r="H151" s="52">
        <f>$H$142/$H$147</f>
        <v>158.82156070000002</v>
      </c>
      <c r="I151" s="52">
        <f t="shared" ref="I151:M151" si="75">$H$142/$H$147</f>
        <v>158.82156070000002</v>
      </c>
      <c r="J151" s="52">
        <f t="shared" si="75"/>
        <v>158.82156070000002</v>
      </c>
      <c r="K151" s="52">
        <f t="shared" si="75"/>
        <v>158.82156070000002</v>
      </c>
      <c r="L151" s="52">
        <f t="shared" si="75"/>
        <v>158.82156070000002</v>
      </c>
      <c r="M151" s="52">
        <f t="shared" si="75"/>
        <v>158.82156070000002</v>
      </c>
    </row>
    <row r="152" spans="2:13" x14ac:dyDescent="0.25">
      <c r="B152" s="7" t="s">
        <v>171</v>
      </c>
      <c r="G152" s="52"/>
      <c r="H152" s="52"/>
      <c r="I152" s="52">
        <f>$I$142/$I$147</f>
        <v>165.174423128</v>
      </c>
      <c r="J152" s="52">
        <f t="shared" ref="J152:M152" si="76">$I$142/$I$147</f>
        <v>165.174423128</v>
      </c>
      <c r="K152" s="52">
        <f t="shared" si="76"/>
        <v>165.174423128</v>
      </c>
      <c r="L152" s="52">
        <f t="shared" si="76"/>
        <v>165.174423128</v>
      </c>
      <c r="M152" s="52">
        <f t="shared" si="76"/>
        <v>165.174423128</v>
      </c>
    </row>
    <row r="153" spans="2:13" x14ac:dyDescent="0.25">
      <c r="B153" s="7" t="s">
        <v>172</v>
      </c>
      <c r="G153" s="52"/>
      <c r="H153" s="52"/>
      <c r="I153" s="52"/>
      <c r="J153" s="52">
        <f>$J$142/$J$147</f>
        <v>172.27692332250399</v>
      </c>
      <c r="K153" s="52">
        <f t="shared" ref="K153:M153" si="77">$J$142/$J$147</f>
        <v>172.27692332250399</v>
      </c>
      <c r="L153" s="52">
        <f t="shared" si="77"/>
        <v>172.27692332250399</v>
      </c>
      <c r="M153" s="52">
        <f t="shared" si="77"/>
        <v>172.27692332250399</v>
      </c>
    </row>
    <row r="154" spans="2:13" x14ac:dyDescent="0.25">
      <c r="B154" s="7" t="s">
        <v>173</v>
      </c>
      <c r="G154" s="52"/>
      <c r="H154" s="52"/>
      <c r="I154" s="52"/>
      <c r="J154" s="52"/>
      <c r="K154" s="52">
        <f>$K$142/$K$147</f>
        <v>179.16800025540414</v>
      </c>
      <c r="L154" s="52">
        <f t="shared" ref="L154:M154" si="78">$K$142/$K$147</f>
        <v>179.16800025540414</v>
      </c>
      <c r="M154" s="52">
        <f t="shared" si="78"/>
        <v>179.16800025540414</v>
      </c>
    </row>
    <row r="155" spans="2:13" x14ac:dyDescent="0.25">
      <c r="B155" s="7" t="s">
        <v>174</v>
      </c>
      <c r="G155" s="52"/>
      <c r="H155" s="52"/>
      <c r="I155" s="52"/>
      <c r="J155" s="52"/>
      <c r="K155" s="52"/>
      <c r="L155" s="52">
        <f>$L$142/$L$147</f>
        <v>185.88680026498184</v>
      </c>
      <c r="M155" s="52">
        <f>$L$142/$L$147</f>
        <v>185.88680026498184</v>
      </c>
    </row>
    <row r="156" spans="2:13" x14ac:dyDescent="0.25">
      <c r="B156" s="7" t="s">
        <v>183</v>
      </c>
      <c r="G156" s="52"/>
      <c r="H156" s="52"/>
      <c r="I156" s="52"/>
      <c r="J156" s="52"/>
      <c r="K156" s="52"/>
      <c r="L156" s="52"/>
      <c r="M156" s="52">
        <f>$M$142/$M$147</f>
        <v>192.39283827425618</v>
      </c>
    </row>
    <row r="157" spans="2:13" ht="15.75" thickBot="1" x14ac:dyDescent="0.3">
      <c r="B157" s="57" t="s">
        <v>175</v>
      </c>
      <c r="G157" s="60">
        <f>SUM(G149:G156)</f>
        <v>3411.3956899999998</v>
      </c>
      <c r="H157" s="60">
        <f t="shared" ref="H157:M157" si="79">SUM(H149:H156)</f>
        <v>3570.2172507</v>
      </c>
      <c r="I157" s="60">
        <f t="shared" si="79"/>
        <v>3735.391673828</v>
      </c>
      <c r="J157" s="60">
        <f t="shared" si="79"/>
        <v>3907.668597150504</v>
      </c>
      <c r="K157" s="60">
        <f t="shared" si="79"/>
        <v>4086.8365974059079</v>
      </c>
      <c r="L157" s="60">
        <f t="shared" si="79"/>
        <v>4272.7233976708894</v>
      </c>
      <c r="M157" s="60">
        <f t="shared" si="79"/>
        <v>4465.1162359451455</v>
      </c>
    </row>
    <row r="158" spans="2:13" ht="15.75" thickTop="1" x14ac:dyDescent="0.25">
      <c r="B158" s="8" t="s">
        <v>187</v>
      </c>
      <c r="C158" s="12"/>
      <c r="G158" s="12">
        <f>G157/F138-1</f>
        <v>5.0630024638127491E-2</v>
      </c>
      <c r="H158" s="12">
        <f>H157/G157-1</f>
        <v>4.6556182610408392E-2</v>
      </c>
      <c r="I158" s="12">
        <f t="shared" ref="I158:M158" si="80">I157/H157-1</f>
        <v>4.6264530007414706E-2</v>
      </c>
      <c r="J158" s="12">
        <f t="shared" si="80"/>
        <v>4.6120176507743915E-2</v>
      </c>
      <c r="K158" s="12">
        <f t="shared" si="80"/>
        <v>4.5850357009817655E-2</v>
      </c>
      <c r="L158" s="12">
        <f t="shared" si="80"/>
        <v>4.5484275144000552E-2</v>
      </c>
      <c r="M158" s="12">
        <f t="shared" si="80"/>
        <v>4.5028151922759996E-2</v>
      </c>
    </row>
    <row r="159" spans="2:13" x14ac:dyDescent="0.25">
      <c r="B159" s="2"/>
    </row>
    <row r="160" spans="2:13" x14ac:dyDescent="0.25">
      <c r="B160" s="1" t="s">
        <v>176</v>
      </c>
    </row>
    <row r="161" spans="2:13" x14ac:dyDescent="0.25">
      <c r="B161" s="7" t="s">
        <v>169</v>
      </c>
      <c r="G161" s="62">
        <v>0.17499999999999999</v>
      </c>
      <c r="H161" s="62">
        <v>0.16500000000000001</v>
      </c>
      <c r="I161" s="62">
        <v>0.13200000000000001</v>
      </c>
      <c r="J161" s="62">
        <v>0.1056</v>
      </c>
      <c r="K161" s="62">
        <v>8.4500000000000006E-2</v>
      </c>
      <c r="L161" s="62">
        <v>6.7599999999999993E-2</v>
      </c>
      <c r="M161" s="62">
        <v>6.5500000000000003E-2</v>
      </c>
    </row>
    <row r="162" spans="2:13" x14ac:dyDescent="0.25">
      <c r="B162" s="7" t="s">
        <v>182</v>
      </c>
      <c r="G162" s="62">
        <v>0.17499999999999999</v>
      </c>
      <c r="H162" s="62">
        <v>0.16500000000000001</v>
      </c>
      <c r="I162" s="62">
        <v>0.13200000000000001</v>
      </c>
      <c r="J162" s="62">
        <v>0.1056</v>
      </c>
      <c r="K162" s="62">
        <v>8.4500000000000006E-2</v>
      </c>
      <c r="L162" s="62">
        <v>6.7599999999999993E-2</v>
      </c>
      <c r="M162" s="62">
        <v>6.5500000000000003E-2</v>
      </c>
    </row>
    <row r="163" spans="2:13" x14ac:dyDescent="0.25">
      <c r="B163" s="7" t="s">
        <v>170</v>
      </c>
      <c r="G163" s="62"/>
      <c r="H163" s="62">
        <v>0.17499999999999999</v>
      </c>
      <c r="I163" s="62">
        <v>0.16500000000000001</v>
      </c>
      <c r="J163" s="62">
        <v>0.13200000000000001</v>
      </c>
      <c r="K163" s="62">
        <v>0.1056</v>
      </c>
      <c r="L163" s="62">
        <v>8.4500000000000006E-2</v>
      </c>
      <c r="M163" s="62">
        <v>6.7599999999999993E-2</v>
      </c>
    </row>
    <row r="164" spans="2:13" x14ac:dyDescent="0.25">
      <c r="B164" s="7" t="s">
        <v>171</v>
      </c>
      <c r="G164" s="62"/>
      <c r="H164" s="62"/>
      <c r="I164" s="62">
        <v>0.17499999999999999</v>
      </c>
      <c r="J164" s="62">
        <v>0.16500000000000001</v>
      </c>
      <c r="K164" s="62">
        <v>0.13200000000000001</v>
      </c>
      <c r="L164" s="62">
        <v>0.1056</v>
      </c>
      <c r="M164" s="62">
        <v>8.4500000000000006E-2</v>
      </c>
    </row>
    <row r="165" spans="2:13" x14ac:dyDescent="0.25">
      <c r="B165" s="7" t="s">
        <v>172</v>
      </c>
      <c r="G165" s="62"/>
      <c r="H165" s="62"/>
      <c r="I165" s="62"/>
      <c r="J165" s="62">
        <v>0.17499999999999999</v>
      </c>
      <c r="K165" s="62">
        <v>0.16500000000000001</v>
      </c>
      <c r="L165" s="62">
        <v>0.13200000000000001</v>
      </c>
      <c r="M165" s="62">
        <v>0.1056</v>
      </c>
    </row>
    <row r="166" spans="2:13" x14ac:dyDescent="0.25">
      <c r="B166" s="7" t="s">
        <v>173</v>
      </c>
      <c r="G166" s="62"/>
      <c r="H166" s="62"/>
      <c r="I166" s="62"/>
      <c r="J166" s="62"/>
      <c r="K166" s="62">
        <v>0.17499999999999999</v>
      </c>
      <c r="L166" s="62">
        <v>0.16500000000000001</v>
      </c>
      <c r="M166" s="62">
        <v>0.13200000000000001</v>
      </c>
    </row>
    <row r="167" spans="2:13" x14ac:dyDescent="0.25">
      <c r="B167" s="7" t="s">
        <v>174</v>
      </c>
      <c r="G167" s="62"/>
      <c r="H167" s="62"/>
      <c r="I167" s="62"/>
      <c r="J167" s="62"/>
      <c r="K167" s="62"/>
      <c r="L167" s="62">
        <v>0.17499999999999999</v>
      </c>
      <c r="M167" s="62">
        <v>0.16500000000000001</v>
      </c>
    </row>
    <row r="168" spans="2:13" x14ac:dyDescent="0.25">
      <c r="B168" s="7" t="s">
        <v>183</v>
      </c>
      <c r="G168" s="62"/>
      <c r="H168" s="62"/>
      <c r="I168" s="62"/>
      <c r="J168" s="62"/>
      <c r="K168" s="62"/>
      <c r="L168" s="62"/>
      <c r="M168" s="62">
        <v>0.17499999999999999</v>
      </c>
    </row>
    <row r="169" spans="2:13" x14ac:dyDescent="0.25">
      <c r="B169" s="7"/>
    </row>
    <row r="170" spans="2:13" x14ac:dyDescent="0.25">
      <c r="B170" s="1" t="s">
        <v>177</v>
      </c>
    </row>
    <row r="171" spans="2:13" x14ac:dyDescent="0.25">
      <c r="B171" s="7" t="s">
        <v>169</v>
      </c>
      <c r="G171" s="52">
        <f>$G$141*G161</f>
        <v>5700.0999999999995</v>
      </c>
      <c r="H171" s="52">
        <f>$G$141*H161</f>
        <v>5374.38</v>
      </c>
      <c r="I171" s="52">
        <f>$G$141*I161</f>
        <v>4299.5039999999999</v>
      </c>
      <c r="J171" s="52">
        <f t="shared" ref="J171:M171" si="81">$G$141*J161</f>
        <v>3439.6032</v>
      </c>
      <c r="K171" s="52">
        <f t="shared" si="81"/>
        <v>2752.3340000000003</v>
      </c>
      <c r="L171" s="52">
        <f t="shared" si="81"/>
        <v>2201.8671999999997</v>
      </c>
      <c r="M171" s="52">
        <f t="shared" si="81"/>
        <v>2133.4659999999999</v>
      </c>
    </row>
    <row r="172" spans="2:13" x14ac:dyDescent="0.25">
      <c r="B172" s="7" t="s">
        <v>182</v>
      </c>
      <c r="G172" s="52">
        <f>$G$142*G162</f>
        <v>539.68491500000005</v>
      </c>
      <c r="H172" s="52">
        <f>$G$142*H162</f>
        <v>508.84577700000006</v>
      </c>
      <c r="I172" s="52">
        <f>$G$142*I162</f>
        <v>407.07662160000007</v>
      </c>
      <c r="J172" s="52">
        <f t="shared" ref="J172:M172" si="82">$G$142*J162</f>
        <v>325.66129728000004</v>
      </c>
      <c r="K172" s="52">
        <f t="shared" si="82"/>
        <v>260.59071610000007</v>
      </c>
      <c r="L172" s="52">
        <f t="shared" si="82"/>
        <v>208.47257288</v>
      </c>
      <c r="M172" s="52">
        <f t="shared" si="82"/>
        <v>201.99635390000003</v>
      </c>
    </row>
    <row r="173" spans="2:13" x14ac:dyDescent="0.25">
      <c r="B173" s="7" t="s">
        <v>170</v>
      </c>
      <c r="G173" s="52"/>
      <c r="H173" s="52">
        <f>$H$142*H163</f>
        <v>555.87546244999999</v>
      </c>
      <c r="I173" s="52">
        <f t="shared" ref="I173:M173" si="83">$H$142*I163</f>
        <v>524.11115031000008</v>
      </c>
      <c r="J173" s="52">
        <f t="shared" si="83"/>
        <v>419.28892024800007</v>
      </c>
      <c r="K173" s="52">
        <f t="shared" si="83"/>
        <v>335.4311361984</v>
      </c>
      <c r="L173" s="52">
        <f t="shared" si="83"/>
        <v>268.40843758300002</v>
      </c>
      <c r="M173" s="52">
        <f t="shared" si="83"/>
        <v>214.7267500664</v>
      </c>
    </row>
    <row r="174" spans="2:13" x14ac:dyDescent="0.25">
      <c r="B174" s="7" t="s">
        <v>171</v>
      </c>
      <c r="G174" s="52"/>
      <c r="H174" s="52"/>
      <c r="I174" s="52">
        <f>$I$142*I164</f>
        <v>578.11048094799992</v>
      </c>
      <c r="J174" s="52">
        <f t="shared" ref="J174:M174" si="84">$I$142*J164</f>
        <v>545.07559632239997</v>
      </c>
      <c r="K174" s="52">
        <f t="shared" si="84"/>
        <v>436.06047705791997</v>
      </c>
      <c r="L174" s="52">
        <f t="shared" si="84"/>
        <v>348.84838164633595</v>
      </c>
      <c r="M174" s="52">
        <f t="shared" si="84"/>
        <v>279.14477508632001</v>
      </c>
    </row>
    <row r="175" spans="2:13" x14ac:dyDescent="0.25">
      <c r="B175" s="7" t="s">
        <v>172</v>
      </c>
      <c r="G175" s="52"/>
      <c r="H175" s="52"/>
      <c r="I175" s="52"/>
      <c r="J175" s="52">
        <f>$J$142*J165</f>
        <v>602.96923162876396</v>
      </c>
      <c r="K175" s="52">
        <f t="shared" ref="K175:M175" si="85">$J$142*K165</f>
        <v>568.51384696426317</v>
      </c>
      <c r="L175" s="52">
        <f t="shared" si="85"/>
        <v>454.81107757141058</v>
      </c>
      <c r="M175" s="52">
        <f t="shared" si="85"/>
        <v>363.84886205712843</v>
      </c>
    </row>
    <row r="176" spans="2:13" x14ac:dyDescent="0.25">
      <c r="B176" s="7" t="s">
        <v>173</v>
      </c>
      <c r="G176" s="52"/>
      <c r="H176" s="52"/>
      <c r="I176" s="52"/>
      <c r="J176" s="52"/>
      <c r="K176" s="52">
        <f>$K$142*K166</f>
        <v>627.08800089391445</v>
      </c>
      <c r="L176" s="52">
        <f>$K$142*L166</f>
        <v>591.25440084283377</v>
      </c>
      <c r="M176" s="52">
        <f t="shared" ref="M176" si="86">$K$142*M166</f>
        <v>473.00352067426695</v>
      </c>
    </row>
    <row r="177" spans="2:13" x14ac:dyDescent="0.25">
      <c r="B177" s="7" t="s">
        <v>174</v>
      </c>
      <c r="G177" s="52"/>
      <c r="H177" s="52"/>
      <c r="I177" s="52"/>
      <c r="J177" s="52"/>
      <c r="K177" s="52"/>
      <c r="L177" s="52">
        <f>$L$142*L167</f>
        <v>650.6038009274364</v>
      </c>
      <c r="M177" s="52">
        <f>$L$142*M167</f>
        <v>613.42644087444012</v>
      </c>
    </row>
    <row r="178" spans="2:13" x14ac:dyDescent="0.25">
      <c r="B178" s="7" t="s">
        <v>183</v>
      </c>
      <c r="G178" s="52"/>
      <c r="H178" s="52"/>
      <c r="I178" s="52"/>
      <c r="J178" s="52"/>
      <c r="K178" s="52"/>
      <c r="L178" s="52"/>
      <c r="M178" s="52">
        <f>$M$142*M168</f>
        <v>673.37493395989657</v>
      </c>
    </row>
    <row r="179" spans="2:13" x14ac:dyDescent="0.25">
      <c r="B179" s="7"/>
    </row>
    <row r="180" spans="2:13" ht="15.75" thickBot="1" x14ac:dyDescent="0.3">
      <c r="B180" s="57" t="s">
        <v>178</v>
      </c>
      <c r="G180" s="60">
        <f>SUM(G171:G178)</f>
        <v>6239.7849149999993</v>
      </c>
      <c r="H180" s="60">
        <f t="shared" ref="H180:L180" si="87">SUM(H171:H178)</f>
        <v>6439.1012394500003</v>
      </c>
      <c r="I180" s="60">
        <f t="shared" si="87"/>
        <v>5808.8022528580004</v>
      </c>
      <c r="J180" s="60">
        <f t="shared" si="87"/>
        <v>5332.5982454791638</v>
      </c>
      <c r="K180" s="60">
        <f t="shared" si="87"/>
        <v>4980.0181772144979</v>
      </c>
      <c r="L180" s="60">
        <f t="shared" si="87"/>
        <v>4724.2658714510162</v>
      </c>
      <c r="M180" s="60">
        <f>SUM(M171:M178)</f>
        <v>4952.9876366184517</v>
      </c>
    </row>
    <row r="181" spans="2:13" ht="15.75" thickTop="1" x14ac:dyDescent="0.25">
      <c r="B181" s="2"/>
    </row>
    <row r="182" spans="2:13" x14ac:dyDescent="0.25">
      <c r="B182" s="57" t="s">
        <v>179</v>
      </c>
      <c r="G182" s="52">
        <f>G180-G157</f>
        <v>2828.3892249999994</v>
      </c>
      <c r="H182" s="52">
        <f t="shared" ref="H182:M182" si="88">H180-H157</f>
        <v>2868.8839887500003</v>
      </c>
      <c r="I182" s="52">
        <f t="shared" si="88"/>
        <v>2073.4105790300005</v>
      </c>
      <c r="J182" s="52">
        <f t="shared" si="88"/>
        <v>1424.9296483286598</v>
      </c>
      <c r="K182" s="52">
        <f t="shared" si="88"/>
        <v>893.18157980858996</v>
      </c>
      <c r="L182" s="52">
        <f t="shared" si="88"/>
        <v>451.54247378012678</v>
      </c>
      <c r="M182" s="52">
        <f t="shared" si="88"/>
        <v>487.8714006733062</v>
      </c>
    </row>
    <row r="183" spans="2:13" x14ac:dyDescent="0.25">
      <c r="B183" s="7" t="s">
        <v>180</v>
      </c>
      <c r="G183" s="12">
        <f>G24</f>
        <v>0.24</v>
      </c>
      <c r="H183" s="12">
        <f t="shared" ref="H183:M183" si="89">H24</f>
        <v>0.24</v>
      </c>
      <c r="I183" s="12">
        <f t="shared" si="89"/>
        <v>0.24</v>
      </c>
      <c r="J183" s="12">
        <f t="shared" si="89"/>
        <v>0.24</v>
      </c>
      <c r="K183" s="12">
        <f t="shared" si="89"/>
        <v>0.24</v>
      </c>
      <c r="L183" s="12">
        <f t="shared" si="89"/>
        <v>0.24</v>
      </c>
      <c r="M183" s="12">
        <f t="shared" si="89"/>
        <v>0.24</v>
      </c>
    </row>
    <row r="184" spans="2:13" x14ac:dyDescent="0.25">
      <c r="B184" s="1" t="s">
        <v>181</v>
      </c>
      <c r="G184" s="52">
        <f>G182*G183</f>
        <v>678.81341399999985</v>
      </c>
      <c r="H184" s="52">
        <f t="shared" ref="H184:M184" si="90">H182*H183</f>
        <v>688.53215729999999</v>
      </c>
      <c r="I184" s="52">
        <f t="shared" si="90"/>
        <v>497.6185389672001</v>
      </c>
      <c r="J184" s="52">
        <f t="shared" si="90"/>
        <v>341.98311559887833</v>
      </c>
      <c r="K184" s="52">
        <f t="shared" si="90"/>
        <v>214.36357915406157</v>
      </c>
      <c r="L184" s="52">
        <f t="shared" si="90"/>
        <v>108.37019370723043</v>
      </c>
      <c r="M184" s="52">
        <f t="shared" si="90"/>
        <v>117.08913616159349</v>
      </c>
    </row>
    <row r="185" spans="2:13" x14ac:dyDescent="0.25">
      <c r="B185" s="2"/>
    </row>
    <row r="186" spans="2:13" x14ac:dyDescent="0.25">
      <c r="B186" s="2"/>
    </row>
    <row r="187" spans="2:13" x14ac:dyDescent="0.25">
      <c r="B187" s="5" t="s">
        <v>108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2:13" x14ac:dyDescent="0.25">
      <c r="B188" s="2"/>
    </row>
    <row r="189" spans="2:13" x14ac:dyDescent="0.25">
      <c r="B189" s="65" t="s">
        <v>195</v>
      </c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 spans="2:13" x14ac:dyDescent="0.25">
      <c r="B190" s="2" t="s">
        <v>71</v>
      </c>
      <c r="C190" s="52">
        <f>C39</f>
        <v>2106</v>
      </c>
      <c r="D190" s="52">
        <f t="shared" ref="D190:F190" si="91">D39</f>
        <v>2992</v>
      </c>
      <c r="E190" s="52">
        <f t="shared" si="91"/>
        <v>3426</v>
      </c>
      <c r="F190" s="52">
        <f t="shared" si="91"/>
        <v>3317</v>
      </c>
      <c r="G190" s="52">
        <f>(G191/365)*G10</f>
        <v>3404.9787983561646</v>
      </c>
      <c r="H190" s="52">
        <f t="shared" ref="H190:M190" si="92">(H191/365)*H10</f>
        <v>3507.1281623068494</v>
      </c>
      <c r="I190" s="52">
        <f t="shared" si="92"/>
        <v>3647.4132887991232</v>
      </c>
      <c r="J190" s="52">
        <f t="shared" si="92"/>
        <v>3804.2520602174855</v>
      </c>
      <c r="K190" s="52">
        <f t="shared" si="92"/>
        <v>3956.4221426261852</v>
      </c>
      <c r="L190" s="52">
        <f t="shared" si="92"/>
        <v>4104.7879729746674</v>
      </c>
      <c r="M190" s="52">
        <f t="shared" si="92"/>
        <v>4248.4555520287804</v>
      </c>
    </row>
    <row r="191" spans="2:13" x14ac:dyDescent="0.25">
      <c r="B191" s="8" t="s">
        <v>197</v>
      </c>
      <c r="C191" s="52"/>
      <c r="D191" s="52"/>
      <c r="E191" s="52"/>
      <c r="F191" s="66">
        <f>AVERAGE(E190:F190)/F10*365</f>
        <v>8.0605591180920815</v>
      </c>
      <c r="G191" s="67">
        <v>8.06</v>
      </c>
      <c r="H191" s="67">
        <v>8.06</v>
      </c>
      <c r="I191" s="67">
        <v>8.06</v>
      </c>
      <c r="J191" s="67">
        <v>8.06</v>
      </c>
      <c r="K191" s="67">
        <v>8.06</v>
      </c>
      <c r="L191" s="67">
        <v>8.06</v>
      </c>
      <c r="M191" s="67">
        <v>8.06</v>
      </c>
    </row>
    <row r="192" spans="2:13" x14ac:dyDescent="0.25">
      <c r="B192" s="2" t="s">
        <v>72</v>
      </c>
      <c r="C192" s="52">
        <f>C40</f>
        <v>14531</v>
      </c>
      <c r="D192" s="52">
        <f t="shared" ref="D192:F192" si="93">D40</f>
        <v>16627</v>
      </c>
      <c r="E192" s="52">
        <f t="shared" si="93"/>
        <v>22068</v>
      </c>
      <c r="F192" s="52">
        <f t="shared" si="93"/>
        <v>24886</v>
      </c>
      <c r="G192" s="52">
        <f>(F193/365)*G11</f>
        <v>23740.03113613063</v>
      </c>
      <c r="H192" s="52">
        <f t="shared" ref="H192:M192" si="94">(G193/365)*H11</f>
        <v>24488.544149685753</v>
      </c>
      <c r="I192" s="52">
        <f t="shared" si="94"/>
        <v>25506.211792792456</v>
      </c>
      <c r="J192" s="52">
        <f t="shared" si="94"/>
        <v>26642.744189717927</v>
      </c>
      <c r="K192" s="52">
        <f t="shared" si="94"/>
        <v>27749.809858735462</v>
      </c>
      <c r="L192" s="52">
        <f t="shared" si="94"/>
        <v>28833.334476170443</v>
      </c>
      <c r="M192" s="52">
        <f t="shared" si="94"/>
        <v>29886.909666739437</v>
      </c>
    </row>
    <row r="193" spans="2:13" x14ac:dyDescent="0.25">
      <c r="B193" s="8" t="s">
        <v>198</v>
      </c>
      <c r="C193" s="52"/>
      <c r="D193" s="52"/>
      <c r="E193" s="52"/>
      <c r="F193" s="66">
        <f>AVERAGE(E192:F192)/F11*365</f>
        <v>84.251197042542941</v>
      </c>
      <c r="G193" s="67">
        <v>84.25</v>
      </c>
      <c r="H193" s="67">
        <v>84.25</v>
      </c>
      <c r="I193" s="67">
        <v>84.25</v>
      </c>
      <c r="J193" s="67">
        <v>84.25</v>
      </c>
      <c r="K193" s="67">
        <v>84.25</v>
      </c>
      <c r="L193" s="67">
        <v>84.25</v>
      </c>
      <c r="M193" s="67">
        <v>84.25</v>
      </c>
    </row>
    <row r="194" spans="2:13" ht="15.75" thickBot="1" x14ac:dyDescent="0.3">
      <c r="B194" s="57" t="s">
        <v>202</v>
      </c>
      <c r="C194" s="60">
        <f>C190+C192</f>
        <v>16637</v>
      </c>
      <c r="D194" s="60">
        <f t="shared" ref="D194:E194" si="95">D190+D192</f>
        <v>19619</v>
      </c>
      <c r="E194" s="60">
        <f t="shared" si="95"/>
        <v>25494</v>
      </c>
      <c r="F194" s="60">
        <f>F190+F192</f>
        <v>28203</v>
      </c>
      <c r="G194" s="60">
        <f>G190+G192</f>
        <v>27145.009934486796</v>
      </c>
      <c r="H194" s="60">
        <f t="shared" ref="H194:M194" si="96">H190+H192</f>
        <v>27995.672311992603</v>
      </c>
      <c r="I194" s="60">
        <f t="shared" si="96"/>
        <v>29153.625081591577</v>
      </c>
      <c r="J194" s="60">
        <f t="shared" si="96"/>
        <v>30446.996249935411</v>
      </c>
      <c r="K194" s="60">
        <f t="shared" si="96"/>
        <v>31706.232001361648</v>
      </c>
      <c r="L194" s="60">
        <f t="shared" si="96"/>
        <v>32938.122449145114</v>
      </c>
      <c r="M194" s="60">
        <f t="shared" si="96"/>
        <v>34135.365218768216</v>
      </c>
    </row>
    <row r="195" spans="2:13" ht="15.75" thickTop="1" x14ac:dyDescent="0.25">
      <c r="B195" s="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</row>
    <row r="196" spans="2:13" x14ac:dyDescent="0.25">
      <c r="B196" s="65" t="s">
        <v>196</v>
      </c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</row>
    <row r="197" spans="2:13" x14ac:dyDescent="0.25">
      <c r="B197" s="2" t="s">
        <v>83</v>
      </c>
      <c r="C197" s="52">
        <f>C54</f>
        <v>7787</v>
      </c>
      <c r="D197" s="52">
        <f t="shared" ref="D197:F197" si="97">D54</f>
        <v>11606</v>
      </c>
      <c r="E197" s="52">
        <f t="shared" si="97"/>
        <v>13462</v>
      </c>
      <c r="F197" s="52">
        <f t="shared" si="97"/>
        <v>11443</v>
      </c>
      <c r="G197" s="52">
        <f>(F198/365)*G11</f>
        <v>12592.015066774575</v>
      </c>
      <c r="H197" s="52">
        <f t="shared" ref="H197:M197" si="98">(G198/365)*H11</f>
        <v>12989.82834480067</v>
      </c>
      <c r="I197" s="52">
        <f t="shared" si="98"/>
        <v>13529.645163440888</v>
      </c>
      <c r="J197" s="52">
        <f t="shared" si="98"/>
        <v>14132.513208765509</v>
      </c>
      <c r="K197" s="52">
        <f t="shared" si="98"/>
        <v>14719.750772544663</v>
      </c>
      <c r="L197" s="52">
        <f t="shared" si="98"/>
        <v>15294.501100772191</v>
      </c>
      <c r="M197" s="52">
        <f t="shared" si="98"/>
        <v>15853.364902155317</v>
      </c>
    </row>
    <row r="198" spans="2:13" x14ac:dyDescent="0.25">
      <c r="B198" s="8" t="s">
        <v>199</v>
      </c>
      <c r="C198" s="52"/>
      <c r="D198" s="52"/>
      <c r="E198" s="52"/>
      <c r="F198" s="66">
        <f>AVERAGE(E197:F197)/F11*365</f>
        <v>44.687908641319844</v>
      </c>
      <c r="G198" s="67">
        <v>44.69</v>
      </c>
      <c r="H198" s="67">
        <v>44.69</v>
      </c>
      <c r="I198" s="67">
        <v>44.69</v>
      </c>
      <c r="J198" s="67">
        <v>44.69</v>
      </c>
      <c r="K198" s="67">
        <v>44.69</v>
      </c>
      <c r="L198" s="67">
        <v>44.69</v>
      </c>
      <c r="M198" s="67">
        <v>44.69</v>
      </c>
    </row>
    <row r="199" spans="2:13" x14ac:dyDescent="0.25">
      <c r="B199" s="2" t="s">
        <v>84</v>
      </c>
      <c r="C199" s="52">
        <f>'Annual Model'!C55</f>
        <v>1494</v>
      </c>
      <c r="D199" s="52">
        <f>'Annual Model'!D55</f>
        <v>2463</v>
      </c>
      <c r="E199" s="52">
        <f>'Annual Model'!E55</f>
        <v>2426</v>
      </c>
      <c r="F199" s="52">
        <f>'Annual Model'!F55</f>
        <v>1991</v>
      </c>
      <c r="G199" s="52">
        <f>(F200/365)*G14</f>
        <v>2222.4308723728345</v>
      </c>
      <c r="H199" s="52">
        <f t="shared" ref="H199:M199" si="99">(G200/365)*H14</f>
        <v>2289.3391543738589</v>
      </c>
      <c r="I199" s="52">
        <f t="shared" si="99"/>
        <v>2380.912720548813</v>
      </c>
      <c r="J199" s="52">
        <f t="shared" si="99"/>
        <v>2483.2919675324119</v>
      </c>
      <c r="K199" s="52">
        <f t="shared" si="99"/>
        <v>2582.6236462337083</v>
      </c>
      <c r="L199" s="52">
        <f t="shared" si="99"/>
        <v>2679.4720329674728</v>
      </c>
      <c r="M199" s="52">
        <f t="shared" si="99"/>
        <v>2773.2535541213342</v>
      </c>
    </row>
    <row r="200" spans="2:13" x14ac:dyDescent="0.25">
      <c r="B200" s="8" t="s">
        <v>200</v>
      </c>
      <c r="C200" s="52"/>
      <c r="D200" s="52"/>
      <c r="E200" s="52"/>
      <c r="F200" s="66">
        <f>AVERAGE(E199:F199)/F14*365</f>
        <v>30.306883976238815</v>
      </c>
      <c r="G200" s="67">
        <v>30.31</v>
      </c>
      <c r="H200" s="67">
        <v>30.31</v>
      </c>
      <c r="I200" s="67">
        <v>30.31</v>
      </c>
      <c r="J200" s="67">
        <v>30.31</v>
      </c>
      <c r="K200" s="67">
        <v>30.31</v>
      </c>
      <c r="L200" s="67">
        <v>30.31</v>
      </c>
      <c r="M200" s="67">
        <v>30.31</v>
      </c>
    </row>
    <row r="201" spans="2:13" x14ac:dyDescent="0.25">
      <c r="B201" s="2" t="s">
        <v>85</v>
      </c>
      <c r="C201" s="52">
        <f>C57</f>
        <v>605</v>
      </c>
      <c r="D201" s="52">
        <f t="shared" ref="D201:F201" si="100">D57</f>
        <v>774</v>
      </c>
      <c r="E201" s="52">
        <f t="shared" si="100"/>
        <v>848</v>
      </c>
      <c r="F201" s="52">
        <f t="shared" si="100"/>
        <v>528</v>
      </c>
      <c r="G201" s="52">
        <f ca="1">(F202/365)*G23</f>
        <v>690.80097767068082</v>
      </c>
      <c r="H201" s="52">
        <f t="shared" ref="H201:M201" ca="1" si="101">(G202/365)*H23</f>
        <v>712.09350546280166</v>
      </c>
      <c r="I201" s="52">
        <f t="shared" ca="1" si="101"/>
        <v>742.106900889381</v>
      </c>
      <c r="J201" s="52">
        <f t="shared" ca="1" si="101"/>
        <v>775.33113689873869</v>
      </c>
      <c r="K201" s="52">
        <f t="shared" ca="1" si="101"/>
        <v>806.98611245557493</v>
      </c>
      <c r="L201" s="52">
        <f t="shared" ca="1" si="101"/>
        <v>837.57492849636628</v>
      </c>
      <c r="M201" s="52">
        <f t="shared" ca="1" si="101"/>
        <v>866.94273210060749</v>
      </c>
    </row>
    <row r="202" spans="2:13" x14ac:dyDescent="0.25">
      <c r="B202" s="8" t="s">
        <v>201</v>
      </c>
      <c r="C202" s="52"/>
      <c r="D202" s="52"/>
      <c r="E202" s="52"/>
      <c r="F202" s="66">
        <f>AVERAGE(E201:F201)/F23*365</f>
        <v>52.524576448441756</v>
      </c>
      <c r="G202" s="67">
        <v>52.52</v>
      </c>
      <c r="H202" s="67">
        <v>52.52</v>
      </c>
      <c r="I202" s="67">
        <v>52.52</v>
      </c>
      <c r="J202" s="67">
        <v>52.52</v>
      </c>
      <c r="K202" s="67">
        <v>52.52</v>
      </c>
      <c r="L202" s="67">
        <v>52.52</v>
      </c>
      <c r="M202" s="67">
        <v>52.52</v>
      </c>
    </row>
    <row r="203" spans="2:13" x14ac:dyDescent="0.25">
      <c r="B203" s="2" t="s">
        <v>139</v>
      </c>
      <c r="C203" s="52">
        <f>C59</f>
        <v>55</v>
      </c>
      <c r="D203" s="52">
        <f t="shared" ref="D203:F203" si="102">D59</f>
        <v>193</v>
      </c>
      <c r="E203" s="52">
        <f t="shared" si="102"/>
        <v>158</v>
      </c>
      <c r="F203" s="52">
        <f t="shared" si="102"/>
        <v>50</v>
      </c>
      <c r="G203" s="52">
        <f ca="1">(F204/365)*G23</f>
        <v>104.42340360138198</v>
      </c>
      <c r="H203" s="52">
        <f t="shared" ref="H203:M203" ca="1" si="103">(G204/365)*H23</f>
        <v>107.65465410081197</v>
      </c>
      <c r="I203" s="52">
        <f t="shared" ca="1" si="103"/>
        <v>112.19209430810518</v>
      </c>
      <c r="J203" s="52">
        <f t="shared" ca="1" si="103"/>
        <v>117.21495100868211</v>
      </c>
      <c r="K203" s="52">
        <f t="shared" ca="1" si="103"/>
        <v>122.0005661252335</v>
      </c>
      <c r="L203" s="52">
        <f t="shared" ca="1" si="103"/>
        <v>126.6249987102275</v>
      </c>
      <c r="M203" s="52">
        <f t="shared" ca="1" si="103"/>
        <v>131.06483802130279</v>
      </c>
    </row>
    <row r="204" spans="2:13" x14ac:dyDescent="0.25">
      <c r="B204" s="8" t="s">
        <v>200</v>
      </c>
      <c r="C204" s="52"/>
      <c r="D204" s="52"/>
      <c r="E204" s="52"/>
      <c r="F204" s="66">
        <f>AVERAGE(E203:F203)/F23*365</f>
        <v>7.9397615561597989</v>
      </c>
      <c r="G204" s="67">
        <v>7.94</v>
      </c>
      <c r="H204" s="67">
        <v>7.94</v>
      </c>
      <c r="I204" s="67">
        <v>7.94</v>
      </c>
      <c r="J204" s="67">
        <v>7.94</v>
      </c>
      <c r="K204" s="67">
        <v>7.94</v>
      </c>
      <c r="L204" s="67">
        <v>7.94</v>
      </c>
      <c r="M204" s="67">
        <v>7.94</v>
      </c>
    </row>
    <row r="205" spans="2:13" ht="15.75" thickBot="1" x14ac:dyDescent="0.3">
      <c r="B205" s="57" t="s">
        <v>203</v>
      </c>
      <c r="C205" s="60">
        <f>C197+C199+C201+C203</f>
        <v>9941</v>
      </c>
      <c r="D205" s="60">
        <f>D197+D199+D201+D203</f>
        <v>15036</v>
      </c>
      <c r="E205" s="60">
        <f t="shared" ref="E205" si="104">E197+E199+E201+E203</f>
        <v>16894</v>
      </c>
      <c r="F205" s="60">
        <f>F197+F199+F201+F203</f>
        <v>14012</v>
      </c>
      <c r="G205" s="60">
        <f ca="1">G197+G199+G201+G203</f>
        <v>15609.670320419471</v>
      </c>
      <c r="H205" s="60">
        <f t="shared" ref="H205:M205" ca="1" si="105">H197+H199+H201+H203</f>
        <v>16098.915658738142</v>
      </c>
      <c r="I205" s="60">
        <f t="shared" ca="1" si="105"/>
        <v>16764.856879187188</v>
      </c>
      <c r="J205" s="60">
        <f t="shared" ca="1" si="105"/>
        <v>17508.351264205343</v>
      </c>
      <c r="K205" s="60">
        <f t="shared" ca="1" si="105"/>
        <v>18231.361097359179</v>
      </c>
      <c r="L205" s="60">
        <f t="shared" ca="1" si="105"/>
        <v>18938.173060946261</v>
      </c>
      <c r="M205" s="60">
        <f t="shared" ca="1" si="105"/>
        <v>19624.62602639856</v>
      </c>
    </row>
    <row r="206" spans="2:13" ht="15.75" thickTop="1" x14ac:dyDescent="0.25">
      <c r="B206" s="2"/>
    </row>
    <row r="207" spans="2:13" ht="15.75" thickBot="1" x14ac:dyDescent="0.3">
      <c r="B207" s="57" t="s">
        <v>204</v>
      </c>
      <c r="C207" s="60">
        <f>C194-C205</f>
        <v>6696</v>
      </c>
      <c r="D207" s="60">
        <f>D194-D205</f>
        <v>4583</v>
      </c>
      <c r="E207" s="60">
        <f t="shared" ref="E207:M207" si="106">E194-E205</f>
        <v>8600</v>
      </c>
      <c r="F207" s="60">
        <f>F194-F205</f>
        <v>14191</v>
      </c>
      <c r="G207" s="60">
        <f ca="1">G194-G205</f>
        <v>11535.339614067325</v>
      </c>
      <c r="H207" s="60">
        <f t="shared" ca="1" si="106"/>
        <v>11896.756653254461</v>
      </c>
      <c r="I207" s="60">
        <f t="shared" ca="1" si="106"/>
        <v>12388.76820240439</v>
      </c>
      <c r="J207" s="60">
        <f t="shared" ca="1" si="106"/>
        <v>12938.644985730069</v>
      </c>
      <c r="K207" s="60">
        <f t="shared" ca="1" si="106"/>
        <v>13474.87090400247</v>
      </c>
      <c r="L207" s="60">
        <f t="shared" ca="1" si="106"/>
        <v>13999.949388198853</v>
      </c>
      <c r="M207" s="60">
        <f t="shared" ca="1" si="106"/>
        <v>14510.739192369656</v>
      </c>
    </row>
    <row r="208" spans="2:13" ht="15.75" thickTop="1" x14ac:dyDescent="0.25">
      <c r="B208" s="8" t="s">
        <v>205</v>
      </c>
      <c r="C208" s="52"/>
      <c r="D208" s="52">
        <f>D207-C207</f>
        <v>-2113</v>
      </c>
      <c r="E208" s="52">
        <f>E207-D207</f>
        <v>4017</v>
      </c>
      <c r="F208" s="52">
        <f t="shared" ref="F208" si="107">F207-E207</f>
        <v>5591</v>
      </c>
      <c r="G208" s="52">
        <f ca="1">G207-F207</f>
        <v>-2655.6603859326751</v>
      </c>
      <c r="H208" s="52">
        <f t="shared" ref="H208:M208" ca="1" si="108">H207-G207</f>
        <v>361.41703918713574</v>
      </c>
      <c r="I208" s="52">
        <f t="shared" ca="1" si="108"/>
        <v>492.01154914992912</v>
      </c>
      <c r="J208" s="52">
        <f t="shared" ca="1" si="108"/>
        <v>549.87678332567884</v>
      </c>
      <c r="K208" s="52">
        <f t="shared" ca="1" si="108"/>
        <v>536.22591827240103</v>
      </c>
      <c r="L208" s="52">
        <f t="shared" ca="1" si="108"/>
        <v>525.07848419638322</v>
      </c>
      <c r="M208" s="52">
        <f t="shared" ca="1" si="108"/>
        <v>510.78980417080311</v>
      </c>
    </row>
    <row r="209" spans="2:13" x14ac:dyDescent="0.25">
      <c r="B209" s="8"/>
    </row>
    <row r="210" spans="2:13" x14ac:dyDescent="0.25">
      <c r="B210" s="8" t="s">
        <v>206</v>
      </c>
      <c r="G210" s="50" t="str">
        <f ca="1">IF(ROUND(-G208-G103,1)=0, "Y", "N")</f>
        <v>Y</v>
      </c>
      <c r="H210" s="50" t="str">
        <f t="shared" ref="H210:M210" ca="1" si="109">IF(ROUND(-H208-H103,1)=0, "Y", "N")</f>
        <v>Y</v>
      </c>
      <c r="I210" s="50" t="str">
        <f t="shared" ca="1" si="109"/>
        <v>Y</v>
      </c>
      <c r="J210" s="50" t="str">
        <f t="shared" ca="1" si="109"/>
        <v>Y</v>
      </c>
      <c r="K210" s="50" t="str">
        <f t="shared" ca="1" si="109"/>
        <v>Y</v>
      </c>
      <c r="L210" s="50" t="str">
        <f t="shared" ca="1" si="109"/>
        <v>Y</v>
      </c>
      <c r="M210" s="50" t="str">
        <f t="shared" ca="1" si="109"/>
        <v>Y</v>
      </c>
    </row>
    <row r="211" spans="2:13" x14ac:dyDescent="0.25">
      <c r="B211" s="8"/>
      <c r="G211" s="50"/>
      <c r="H211" s="50"/>
      <c r="I211" s="50"/>
      <c r="J211" s="50"/>
      <c r="K211" s="50"/>
      <c r="L211" s="50"/>
      <c r="M211" s="50"/>
    </row>
    <row r="212" spans="2:13" x14ac:dyDescent="0.25">
      <c r="B212" s="8"/>
      <c r="G212" s="50"/>
      <c r="H212" s="50"/>
      <c r="I212" s="50"/>
      <c r="J212" s="50"/>
      <c r="K212" s="50"/>
      <c r="L212" s="50"/>
      <c r="M212" s="50"/>
    </row>
    <row r="213" spans="2:13" x14ac:dyDescent="0.25">
      <c r="B213" s="2"/>
    </row>
    <row r="214" spans="2:13" x14ac:dyDescent="0.25">
      <c r="B214" s="5" t="s">
        <v>109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2:13" x14ac:dyDescent="0.2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2:13" x14ac:dyDescent="0.25">
      <c r="B216" s="1" t="s">
        <v>212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2:13" x14ac:dyDescent="0.25">
      <c r="B217" s="7" t="s">
        <v>213</v>
      </c>
      <c r="C217" s="2"/>
      <c r="D217" s="2"/>
      <c r="E217" s="2"/>
      <c r="F217" s="2"/>
      <c r="G217" s="10">
        <f>F273</f>
        <v>2757</v>
      </c>
      <c r="H217" s="10">
        <f ca="1">G273</f>
        <v>9019.3589852434743</v>
      </c>
      <c r="I217" s="10">
        <f t="shared" ref="I217:M217" ca="1" si="110">H273</f>
        <v>11099.690422917234</v>
      </c>
      <c r="J217" s="10">
        <f t="shared" ca="1" si="110"/>
        <v>13201.278873290694</v>
      </c>
      <c r="K217" s="10">
        <f t="shared" ca="1" si="110"/>
        <v>16353.217737021885</v>
      </c>
      <c r="L217" s="10">
        <f t="shared" ca="1" si="110"/>
        <v>20182.162954871466</v>
      </c>
      <c r="M217" s="10">
        <f t="shared" ca="1" si="110"/>
        <v>24676.536900523104</v>
      </c>
    </row>
    <row r="218" spans="2:13" x14ac:dyDescent="0.25">
      <c r="B218" s="7" t="s">
        <v>214</v>
      </c>
      <c r="C218" s="2"/>
      <c r="D218" s="2"/>
      <c r="E218" s="2"/>
      <c r="F218" s="2"/>
      <c r="G218" s="10">
        <f ca="1">G133</f>
        <v>7362.3589852434743</v>
      </c>
      <c r="H218" s="10">
        <f t="shared" ref="H218:M218" ca="1" si="111">H133</f>
        <v>4830.3314376737599</v>
      </c>
      <c r="I218" s="10">
        <f t="shared" ca="1" si="111"/>
        <v>5151.5884503734596</v>
      </c>
      <c r="J218" s="10">
        <f t="shared" ca="1" si="111"/>
        <v>5651.9388637311931</v>
      </c>
      <c r="K218" s="10">
        <f t="shared" ca="1" si="111"/>
        <v>6328.9452178495812</v>
      </c>
      <c r="L218" s="10">
        <f t="shared" ca="1" si="111"/>
        <v>6994.3739456516359</v>
      </c>
      <c r="M218" s="10">
        <f t="shared" ca="1" si="111"/>
        <v>7781.8379122981441</v>
      </c>
    </row>
    <row r="219" spans="2:13" x14ac:dyDescent="0.25">
      <c r="B219" s="7" t="s">
        <v>215</v>
      </c>
      <c r="C219" s="70"/>
      <c r="D219" s="70"/>
      <c r="E219" s="70"/>
      <c r="F219" s="70"/>
      <c r="G219" s="54">
        <v>-1000</v>
      </c>
      <c r="H219" s="54">
        <v>-1000</v>
      </c>
      <c r="I219" s="54">
        <v>-1000</v>
      </c>
      <c r="J219" s="54">
        <v>-1000</v>
      </c>
      <c r="K219" s="54">
        <v>-1000</v>
      </c>
      <c r="L219" s="54">
        <v>-1000</v>
      </c>
      <c r="M219" s="54">
        <v>-1000</v>
      </c>
    </row>
    <row r="220" spans="2:13" x14ac:dyDescent="0.25">
      <c r="B220" s="1" t="s">
        <v>216</v>
      </c>
      <c r="C220" s="2"/>
      <c r="D220" s="2"/>
      <c r="E220" s="2"/>
      <c r="F220" s="2"/>
      <c r="G220" s="10">
        <f ca="1">SUM(G217:G219)</f>
        <v>9119.3589852434743</v>
      </c>
      <c r="H220" s="10">
        <f t="shared" ref="H220:M220" ca="1" si="112">SUM(H217:H219)</f>
        <v>12849.690422917234</v>
      </c>
      <c r="I220" s="10">
        <f t="shared" ca="1" si="112"/>
        <v>15251.278873290694</v>
      </c>
      <c r="J220" s="10">
        <f t="shared" ca="1" si="112"/>
        <v>17853.217737021885</v>
      </c>
      <c r="K220" s="10">
        <f t="shared" ca="1" si="112"/>
        <v>21682.162954871466</v>
      </c>
      <c r="L220" s="10">
        <f t="shared" ca="1" si="112"/>
        <v>26176.536900523104</v>
      </c>
      <c r="M220" s="10">
        <f t="shared" ca="1" si="112"/>
        <v>31458.374812821246</v>
      </c>
    </row>
    <row r="221" spans="2:13" x14ac:dyDescent="0.2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2:13" x14ac:dyDescent="0.25">
      <c r="B222" s="1" t="s">
        <v>76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2:13" x14ac:dyDescent="0.25">
      <c r="B223" s="7" t="s">
        <v>222</v>
      </c>
      <c r="C223" s="2"/>
      <c r="D223" s="2"/>
      <c r="E223" s="2"/>
      <c r="F223" s="2"/>
      <c r="G223" s="10">
        <f>F226</f>
        <v>6941</v>
      </c>
      <c r="H223" s="10">
        <f>G226</f>
        <v>6941</v>
      </c>
      <c r="I223" s="10">
        <f t="shared" ref="I223:M223" si="113">H226</f>
        <v>6941</v>
      </c>
      <c r="J223" s="10">
        <f t="shared" si="113"/>
        <v>6941</v>
      </c>
      <c r="K223" s="10">
        <f t="shared" si="113"/>
        <v>6941</v>
      </c>
      <c r="L223" s="10">
        <f t="shared" si="113"/>
        <v>6941</v>
      </c>
      <c r="M223" s="10">
        <f t="shared" si="113"/>
        <v>6941</v>
      </c>
    </row>
    <row r="224" spans="2:13" x14ac:dyDescent="0.25">
      <c r="B224" s="7" t="s">
        <v>223</v>
      </c>
      <c r="C224" s="2"/>
      <c r="D224" s="2"/>
      <c r="E224" s="2"/>
      <c r="F224" s="2"/>
      <c r="G224" s="71">
        <v>0</v>
      </c>
      <c r="H224" s="71">
        <v>0</v>
      </c>
      <c r="I224" s="71">
        <v>0</v>
      </c>
      <c r="J224" s="71">
        <v>0</v>
      </c>
      <c r="K224" s="71">
        <v>0</v>
      </c>
      <c r="L224" s="71">
        <v>0</v>
      </c>
      <c r="M224" s="71">
        <v>0</v>
      </c>
    </row>
    <row r="225" spans="2:13" x14ac:dyDescent="0.25">
      <c r="B225" s="7" t="s">
        <v>224</v>
      </c>
      <c r="C225" s="70"/>
      <c r="D225" s="70"/>
      <c r="E225" s="70"/>
      <c r="F225" s="70"/>
      <c r="G225" s="72">
        <v>0</v>
      </c>
      <c r="H225" s="72">
        <v>0</v>
      </c>
      <c r="I225" s="72">
        <v>0</v>
      </c>
      <c r="J225" s="72">
        <v>0</v>
      </c>
      <c r="K225" s="72">
        <v>0</v>
      </c>
      <c r="L225" s="72">
        <v>0</v>
      </c>
      <c r="M225" s="72">
        <v>0</v>
      </c>
    </row>
    <row r="226" spans="2:13" x14ac:dyDescent="0.25">
      <c r="B226" s="1" t="s">
        <v>225</v>
      </c>
      <c r="C226" s="2"/>
      <c r="D226" s="2"/>
      <c r="E226" s="2"/>
      <c r="F226" s="10">
        <f>F45</f>
        <v>6941</v>
      </c>
      <c r="G226" s="10">
        <f>SUM(G223:G225)</f>
        <v>6941</v>
      </c>
      <c r="H226" s="10">
        <f t="shared" ref="H226:M226" si="114">SUM(H223:H225)</f>
        <v>6941</v>
      </c>
      <c r="I226" s="10">
        <f t="shared" si="114"/>
        <v>6941</v>
      </c>
      <c r="J226" s="10">
        <f t="shared" si="114"/>
        <v>6941</v>
      </c>
      <c r="K226" s="10">
        <f t="shared" si="114"/>
        <v>6941</v>
      </c>
      <c r="L226" s="10">
        <f t="shared" si="114"/>
        <v>6941</v>
      </c>
      <c r="M226" s="10">
        <f t="shared" si="114"/>
        <v>6941</v>
      </c>
    </row>
    <row r="227" spans="2:13" x14ac:dyDescent="0.25">
      <c r="B227" s="44" t="s">
        <v>51</v>
      </c>
      <c r="C227" s="2"/>
      <c r="D227" s="2"/>
      <c r="E227" s="2"/>
      <c r="F227" s="2"/>
      <c r="G227" s="10">
        <f>AVERAGE(G223,G226)*G228</f>
        <v>256.81700000000001</v>
      </c>
      <c r="H227" s="10">
        <f t="shared" ref="H227:M227" si="115">AVERAGE(H223,H226)*H228</f>
        <v>256.81700000000001</v>
      </c>
      <c r="I227" s="10">
        <f t="shared" si="115"/>
        <v>256.81700000000001</v>
      </c>
      <c r="J227" s="10">
        <f t="shared" si="115"/>
        <v>256.81700000000001</v>
      </c>
      <c r="K227" s="10">
        <f t="shared" si="115"/>
        <v>256.81700000000001</v>
      </c>
      <c r="L227" s="10">
        <f t="shared" si="115"/>
        <v>256.81700000000001</v>
      </c>
      <c r="M227" s="10">
        <f t="shared" si="115"/>
        <v>256.81700000000001</v>
      </c>
    </row>
    <row r="228" spans="2:13" x14ac:dyDescent="0.25">
      <c r="B228" s="68" t="s">
        <v>226</v>
      </c>
      <c r="C228" s="2"/>
      <c r="D228" s="2"/>
      <c r="E228" s="2"/>
      <c r="F228" s="74">
        <v>3.6999999999999998E-2</v>
      </c>
      <c r="G228" s="74">
        <v>3.6999999999999998E-2</v>
      </c>
      <c r="H228" s="74">
        <v>3.6999999999999998E-2</v>
      </c>
      <c r="I228" s="74">
        <v>3.6999999999999998E-2</v>
      </c>
      <c r="J228" s="74">
        <v>3.6999999999999998E-2</v>
      </c>
      <c r="K228" s="74">
        <v>3.6999999999999998E-2</v>
      </c>
      <c r="L228" s="74">
        <v>3.6999999999999998E-2</v>
      </c>
      <c r="M228" s="74">
        <v>3.6999999999999998E-2</v>
      </c>
    </row>
    <row r="229" spans="2:13" x14ac:dyDescent="0.2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2:13" x14ac:dyDescent="0.25">
      <c r="B230" s="1" t="s">
        <v>227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2:13" x14ac:dyDescent="0.25">
      <c r="B231" s="7" t="s">
        <v>228</v>
      </c>
      <c r="C231" s="2"/>
      <c r="D231" s="2"/>
      <c r="E231" s="2"/>
      <c r="F231" s="73"/>
      <c r="G231" s="73">
        <f>F234</f>
        <v>0</v>
      </c>
      <c r="H231" s="73"/>
      <c r="I231" s="73"/>
      <c r="J231" s="73"/>
      <c r="K231" s="73"/>
      <c r="L231" s="73"/>
      <c r="M231" s="73"/>
    </row>
    <row r="232" spans="2:13" x14ac:dyDescent="0.25">
      <c r="B232" s="7" t="s">
        <v>223</v>
      </c>
      <c r="C232" s="2"/>
      <c r="D232" s="2"/>
      <c r="E232" s="2"/>
      <c r="F232" s="73"/>
      <c r="G232" s="76">
        <v>0</v>
      </c>
      <c r="H232" s="76">
        <v>0</v>
      </c>
      <c r="I232" s="76">
        <v>0</v>
      </c>
      <c r="J232" s="76">
        <v>0</v>
      </c>
      <c r="K232" s="76">
        <v>0</v>
      </c>
      <c r="L232" s="76">
        <v>0</v>
      </c>
      <c r="M232" s="76">
        <v>0</v>
      </c>
    </row>
    <row r="233" spans="2:13" x14ac:dyDescent="0.25">
      <c r="B233" s="7" t="s">
        <v>224</v>
      </c>
      <c r="C233" s="70"/>
      <c r="D233" s="70"/>
      <c r="E233" s="70"/>
      <c r="F233" s="75"/>
      <c r="G233" s="77">
        <v>0</v>
      </c>
      <c r="H233" s="77">
        <v>0</v>
      </c>
      <c r="I233" s="77">
        <v>0</v>
      </c>
      <c r="J233" s="77">
        <v>0</v>
      </c>
      <c r="K233" s="77">
        <v>0</v>
      </c>
      <c r="L233" s="77">
        <v>0</v>
      </c>
      <c r="M233" s="77">
        <v>0</v>
      </c>
    </row>
    <row r="234" spans="2:13" x14ac:dyDescent="0.25">
      <c r="B234" s="1" t="s">
        <v>229</v>
      </c>
      <c r="C234" s="2"/>
      <c r="D234" s="2"/>
      <c r="E234" s="2"/>
      <c r="F234" s="73">
        <f>F53</f>
        <v>0</v>
      </c>
      <c r="G234" s="73">
        <f>SUM(G231:G233)</f>
        <v>0</v>
      </c>
      <c r="H234" s="73">
        <f t="shared" ref="H234:M234" si="116">SUM(H231:H233)</f>
        <v>0</v>
      </c>
      <c r="I234" s="73">
        <f t="shared" si="116"/>
        <v>0</v>
      </c>
      <c r="J234" s="73">
        <f t="shared" si="116"/>
        <v>0</v>
      </c>
      <c r="K234" s="73">
        <f t="shared" si="116"/>
        <v>0</v>
      </c>
      <c r="L234" s="73">
        <f t="shared" si="116"/>
        <v>0</v>
      </c>
      <c r="M234" s="73">
        <f t="shared" si="116"/>
        <v>0</v>
      </c>
    </row>
    <row r="235" spans="2:13" x14ac:dyDescent="0.25">
      <c r="B235" s="44" t="s">
        <v>230</v>
      </c>
      <c r="C235" s="2"/>
      <c r="D235" s="2"/>
      <c r="E235" s="2"/>
      <c r="F235" s="73"/>
      <c r="G235" s="73">
        <f>AVERAGE(G231,G234)*G236</f>
        <v>0</v>
      </c>
      <c r="H235" s="73">
        <f t="shared" ref="H235:M235" si="117">AVERAGE(H231,H234)*H236</f>
        <v>0</v>
      </c>
      <c r="I235" s="73">
        <f t="shared" si="117"/>
        <v>0</v>
      </c>
      <c r="J235" s="73">
        <f t="shared" si="117"/>
        <v>0</v>
      </c>
      <c r="K235" s="73">
        <f t="shared" si="117"/>
        <v>0</v>
      </c>
      <c r="L235" s="73">
        <f t="shared" si="117"/>
        <v>0</v>
      </c>
      <c r="M235" s="73">
        <f t="shared" si="117"/>
        <v>0</v>
      </c>
    </row>
    <row r="236" spans="2:13" x14ac:dyDescent="0.25">
      <c r="B236" s="68" t="s">
        <v>231</v>
      </c>
      <c r="C236" s="2"/>
      <c r="D236" s="2"/>
      <c r="E236" s="2"/>
      <c r="F236" s="74">
        <v>0</v>
      </c>
      <c r="G236" s="74">
        <v>0</v>
      </c>
      <c r="H236" s="74">
        <v>0</v>
      </c>
      <c r="I236" s="74">
        <v>0</v>
      </c>
      <c r="J236" s="74">
        <v>0</v>
      </c>
      <c r="K236" s="74">
        <v>0</v>
      </c>
      <c r="L236" s="74">
        <v>0</v>
      </c>
      <c r="M236" s="74">
        <v>0</v>
      </c>
    </row>
    <row r="237" spans="2:13" x14ac:dyDescent="0.2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2:13" x14ac:dyDescent="0.25">
      <c r="B238" s="1" t="s">
        <v>87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2:13" x14ac:dyDescent="0.25">
      <c r="B239" s="7" t="s">
        <v>232</v>
      </c>
      <c r="C239" s="2"/>
      <c r="D239" s="2"/>
      <c r="E239" s="2"/>
      <c r="F239" s="2"/>
      <c r="G239" s="10">
        <f>F242</f>
        <v>1231</v>
      </c>
      <c r="H239" s="10">
        <f t="shared" ref="H239:M239" si="118">G242</f>
        <v>1231</v>
      </c>
      <c r="I239" s="10">
        <f t="shared" si="118"/>
        <v>1231</v>
      </c>
      <c r="J239" s="10">
        <f t="shared" si="118"/>
        <v>1231</v>
      </c>
      <c r="K239" s="10">
        <f t="shared" si="118"/>
        <v>1231</v>
      </c>
      <c r="L239" s="10">
        <f t="shared" si="118"/>
        <v>1231</v>
      </c>
      <c r="M239" s="10">
        <f t="shared" si="118"/>
        <v>1231</v>
      </c>
    </row>
    <row r="240" spans="2:13" x14ac:dyDescent="0.25">
      <c r="B240" s="7" t="s">
        <v>223</v>
      </c>
      <c r="C240" s="2"/>
      <c r="D240" s="2"/>
      <c r="E240" s="2"/>
      <c r="F240" s="2"/>
      <c r="G240" s="76">
        <v>0</v>
      </c>
      <c r="H240" s="76">
        <v>0</v>
      </c>
      <c r="I240" s="76">
        <v>0</v>
      </c>
      <c r="J240" s="76">
        <v>0</v>
      </c>
      <c r="K240" s="76">
        <v>0</v>
      </c>
      <c r="L240" s="76">
        <v>0</v>
      </c>
      <c r="M240" s="76">
        <v>0</v>
      </c>
    </row>
    <row r="241" spans="2:13" x14ac:dyDescent="0.25">
      <c r="B241" s="7" t="s">
        <v>224</v>
      </c>
      <c r="C241" s="70"/>
      <c r="D241" s="70"/>
      <c r="E241" s="70"/>
      <c r="F241" s="70"/>
      <c r="G241" s="77">
        <v>0</v>
      </c>
      <c r="H241" s="77">
        <v>0</v>
      </c>
      <c r="I241" s="77">
        <v>0</v>
      </c>
      <c r="J241" s="77">
        <v>0</v>
      </c>
      <c r="K241" s="77">
        <v>0</v>
      </c>
      <c r="L241" s="77">
        <v>0</v>
      </c>
      <c r="M241" s="77">
        <v>0</v>
      </c>
    </row>
    <row r="242" spans="2:13" x14ac:dyDescent="0.25">
      <c r="B242" s="1" t="s">
        <v>233</v>
      </c>
      <c r="C242" s="2"/>
      <c r="D242" s="2"/>
      <c r="E242" s="2"/>
      <c r="F242" s="10">
        <f>F60</f>
        <v>1231</v>
      </c>
      <c r="G242" s="10">
        <f>SUM(G239:G241)</f>
        <v>1231</v>
      </c>
      <c r="H242" s="10">
        <f t="shared" ref="H242:M242" si="119">SUM(H239:H241)</f>
        <v>1231</v>
      </c>
      <c r="I242" s="10">
        <f t="shared" si="119"/>
        <v>1231</v>
      </c>
      <c r="J242" s="10">
        <f t="shared" si="119"/>
        <v>1231</v>
      </c>
      <c r="K242" s="10">
        <f t="shared" si="119"/>
        <v>1231</v>
      </c>
      <c r="L242" s="10">
        <f t="shared" si="119"/>
        <v>1231</v>
      </c>
      <c r="M242" s="10">
        <f t="shared" si="119"/>
        <v>1231</v>
      </c>
    </row>
    <row r="243" spans="2:13" x14ac:dyDescent="0.25">
      <c r="B243" s="44" t="s">
        <v>51</v>
      </c>
      <c r="C243" s="2"/>
      <c r="D243" s="2"/>
      <c r="E243" s="2"/>
      <c r="F243" s="2"/>
      <c r="G243" s="10">
        <f>AVERAGE(G239,G242)*G244</f>
        <v>36.93</v>
      </c>
      <c r="H243" s="10">
        <f t="shared" ref="H243:M243" si="120">AVERAGE(H239,H242)*H244</f>
        <v>36.93</v>
      </c>
      <c r="I243" s="10">
        <f t="shared" si="120"/>
        <v>36.93</v>
      </c>
      <c r="J243" s="10">
        <f t="shared" si="120"/>
        <v>36.93</v>
      </c>
      <c r="K243" s="10">
        <f t="shared" si="120"/>
        <v>36.93</v>
      </c>
      <c r="L243" s="10">
        <f t="shared" si="120"/>
        <v>36.93</v>
      </c>
      <c r="M243" s="10">
        <f t="shared" si="120"/>
        <v>36.93</v>
      </c>
    </row>
    <row r="244" spans="2:13" x14ac:dyDescent="0.25">
      <c r="B244" s="68" t="s">
        <v>226</v>
      </c>
      <c r="C244" s="2"/>
      <c r="D244" s="2"/>
      <c r="E244" s="2"/>
      <c r="F244" s="74">
        <v>0.03</v>
      </c>
      <c r="G244" s="74">
        <v>0.03</v>
      </c>
      <c r="H244" s="74">
        <v>0.03</v>
      </c>
      <c r="I244" s="74">
        <v>0.03</v>
      </c>
      <c r="J244" s="74">
        <v>0.03</v>
      </c>
      <c r="K244" s="74">
        <v>0.03</v>
      </c>
      <c r="L244" s="74">
        <v>0.03</v>
      </c>
      <c r="M244" s="74">
        <v>0.03</v>
      </c>
    </row>
    <row r="245" spans="2:13" x14ac:dyDescent="0.2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2:13" x14ac:dyDescent="0.25">
      <c r="B246" s="1" t="s">
        <v>88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2:13" x14ac:dyDescent="0.25">
      <c r="B247" s="7" t="s">
        <v>234</v>
      </c>
      <c r="C247" s="2"/>
      <c r="D247" s="2"/>
      <c r="E247" s="2"/>
      <c r="F247" s="2"/>
      <c r="G247" s="10">
        <f>F250</f>
        <v>945</v>
      </c>
      <c r="H247" s="10">
        <f t="shared" ref="H247:M247" si="121">G250</f>
        <v>945</v>
      </c>
      <c r="I247" s="10">
        <f t="shared" si="121"/>
        <v>945</v>
      </c>
      <c r="J247" s="10">
        <f t="shared" si="121"/>
        <v>945</v>
      </c>
      <c r="K247" s="10">
        <f t="shared" si="121"/>
        <v>945</v>
      </c>
      <c r="L247" s="10">
        <f t="shared" si="121"/>
        <v>945</v>
      </c>
      <c r="M247" s="10">
        <f t="shared" si="121"/>
        <v>945</v>
      </c>
    </row>
    <row r="248" spans="2:13" x14ac:dyDescent="0.25">
      <c r="B248" s="7" t="s">
        <v>223</v>
      </c>
      <c r="C248" s="2"/>
      <c r="D248" s="2"/>
      <c r="E248" s="2"/>
      <c r="F248" s="2"/>
      <c r="G248" s="76">
        <v>0</v>
      </c>
      <c r="H248" s="76">
        <v>0</v>
      </c>
      <c r="I248" s="76">
        <v>0</v>
      </c>
      <c r="J248" s="76">
        <v>0</v>
      </c>
      <c r="K248" s="76">
        <v>0</v>
      </c>
      <c r="L248" s="76">
        <v>0</v>
      </c>
      <c r="M248" s="76">
        <v>0</v>
      </c>
    </row>
    <row r="249" spans="2:13" x14ac:dyDescent="0.25">
      <c r="B249" s="7" t="s">
        <v>224</v>
      </c>
      <c r="C249" s="70"/>
      <c r="D249" s="70"/>
      <c r="E249" s="70"/>
      <c r="F249" s="70"/>
      <c r="G249" s="77">
        <v>0</v>
      </c>
      <c r="H249" s="77">
        <v>0</v>
      </c>
      <c r="I249" s="77">
        <v>0</v>
      </c>
      <c r="J249" s="77">
        <v>0</v>
      </c>
      <c r="K249" s="77">
        <v>0</v>
      </c>
      <c r="L249" s="77">
        <v>0</v>
      </c>
      <c r="M249" s="77">
        <v>0</v>
      </c>
    </row>
    <row r="250" spans="2:13" x14ac:dyDescent="0.25">
      <c r="B250" s="1" t="s">
        <v>235</v>
      </c>
      <c r="C250" s="2"/>
      <c r="D250" s="2"/>
      <c r="E250" s="2"/>
      <c r="F250" s="10">
        <f>F61</f>
        <v>945</v>
      </c>
      <c r="G250" s="10">
        <f>SUM(G247:G249)</f>
        <v>945</v>
      </c>
      <c r="H250" s="10">
        <f t="shared" ref="H250:M250" si="122">SUM(H247:H249)</f>
        <v>945</v>
      </c>
      <c r="I250" s="10">
        <f t="shared" si="122"/>
        <v>945</v>
      </c>
      <c r="J250" s="10">
        <f t="shared" si="122"/>
        <v>945</v>
      </c>
      <c r="K250" s="10">
        <f t="shared" si="122"/>
        <v>945</v>
      </c>
      <c r="L250" s="10">
        <f t="shared" si="122"/>
        <v>945</v>
      </c>
      <c r="M250" s="10">
        <f t="shared" si="122"/>
        <v>945</v>
      </c>
    </row>
    <row r="251" spans="2:13" x14ac:dyDescent="0.25">
      <c r="B251" s="44" t="s">
        <v>51</v>
      </c>
      <c r="C251" s="2"/>
      <c r="D251" s="2"/>
      <c r="E251" s="2"/>
      <c r="F251" s="10"/>
      <c r="G251" s="10">
        <f>AVERAGE(G247,G250)*G252</f>
        <v>34.964999999999996</v>
      </c>
      <c r="H251" s="10">
        <f t="shared" ref="H251:M251" si="123">AVERAGE(H247,H250)*H252</f>
        <v>34.964999999999996</v>
      </c>
      <c r="I251" s="10">
        <f t="shared" si="123"/>
        <v>34.964999999999996</v>
      </c>
      <c r="J251" s="10">
        <f t="shared" si="123"/>
        <v>34.964999999999996</v>
      </c>
      <c r="K251" s="10">
        <f t="shared" si="123"/>
        <v>34.964999999999996</v>
      </c>
      <c r="L251" s="10">
        <f t="shared" si="123"/>
        <v>34.964999999999996</v>
      </c>
      <c r="M251" s="10">
        <f t="shared" si="123"/>
        <v>34.964999999999996</v>
      </c>
    </row>
    <row r="252" spans="2:13" x14ac:dyDescent="0.25">
      <c r="B252" s="68" t="s">
        <v>226</v>
      </c>
      <c r="C252" s="2"/>
      <c r="D252" s="2"/>
      <c r="E252" s="2"/>
      <c r="F252" s="74">
        <v>3.6999999999999998E-2</v>
      </c>
      <c r="G252" s="74">
        <v>3.6999999999999998E-2</v>
      </c>
      <c r="H252" s="74">
        <v>3.6999999999999998E-2</v>
      </c>
      <c r="I252" s="74">
        <v>3.6999999999999998E-2</v>
      </c>
      <c r="J252" s="74">
        <v>3.6999999999999998E-2</v>
      </c>
      <c r="K252" s="74">
        <v>3.6999999999999998E-2</v>
      </c>
      <c r="L252" s="74">
        <v>3.6999999999999998E-2</v>
      </c>
      <c r="M252" s="74">
        <v>3.6999999999999998E-2</v>
      </c>
    </row>
    <row r="253" spans="2:13" x14ac:dyDescent="0.25">
      <c r="C253" s="2"/>
      <c r="D253" s="2"/>
      <c r="E253" s="2"/>
      <c r="F253" s="10"/>
      <c r="G253" s="10"/>
      <c r="H253" s="10"/>
      <c r="I253" s="10"/>
      <c r="J253" s="10"/>
      <c r="K253" s="10"/>
      <c r="L253" s="10"/>
      <c r="M253" s="10"/>
    </row>
    <row r="254" spans="2:13" x14ac:dyDescent="0.25">
      <c r="B254" s="1" t="s">
        <v>92</v>
      </c>
      <c r="C254" s="2"/>
      <c r="D254" s="2"/>
      <c r="E254" s="2"/>
      <c r="F254" s="10"/>
      <c r="G254" s="10"/>
      <c r="H254" s="10"/>
      <c r="I254" s="10"/>
      <c r="J254" s="10"/>
      <c r="K254" s="10"/>
      <c r="L254" s="10"/>
      <c r="M254" s="10"/>
    </row>
    <row r="255" spans="2:13" x14ac:dyDescent="0.25">
      <c r="B255" s="7" t="s">
        <v>236</v>
      </c>
      <c r="C255" s="2"/>
      <c r="D255" s="2"/>
      <c r="E255" s="2"/>
      <c r="F255" s="10"/>
      <c r="G255" s="10">
        <f>F258</f>
        <v>41962</v>
      </c>
      <c r="H255" s="10">
        <f t="shared" ref="H255:M255" si="124">G258</f>
        <v>40862</v>
      </c>
      <c r="I255" s="10">
        <f t="shared" si="124"/>
        <v>38112</v>
      </c>
      <c r="J255" s="10">
        <f t="shared" si="124"/>
        <v>35062</v>
      </c>
      <c r="K255" s="10">
        <f t="shared" si="124"/>
        <v>32562</v>
      </c>
      <c r="L255" s="10">
        <f t="shared" si="124"/>
        <v>30062</v>
      </c>
      <c r="M255" s="10">
        <f t="shared" si="124"/>
        <v>27562</v>
      </c>
    </row>
    <row r="256" spans="2:13" x14ac:dyDescent="0.25">
      <c r="B256" s="7" t="s">
        <v>223</v>
      </c>
      <c r="C256" s="2"/>
      <c r="D256" s="2"/>
      <c r="E256" s="2"/>
      <c r="F256" s="10"/>
      <c r="G256" s="76">
        <v>-1100</v>
      </c>
      <c r="H256" s="76">
        <v>-2750</v>
      </c>
      <c r="I256" s="76">
        <v>-3050</v>
      </c>
      <c r="J256" s="76">
        <v>-2500</v>
      </c>
      <c r="K256" s="76">
        <v>-2500</v>
      </c>
      <c r="L256" s="76">
        <v>-2500</v>
      </c>
      <c r="M256" s="76">
        <v>-2500</v>
      </c>
    </row>
    <row r="257" spans="2:13" x14ac:dyDescent="0.25">
      <c r="B257" s="7" t="s">
        <v>224</v>
      </c>
      <c r="C257" s="70"/>
      <c r="D257" s="70"/>
      <c r="E257" s="70"/>
      <c r="F257" s="70"/>
      <c r="G257" s="77">
        <v>0</v>
      </c>
      <c r="H257" s="77">
        <v>0</v>
      </c>
      <c r="I257" s="77">
        <v>0</v>
      </c>
      <c r="J257" s="77">
        <v>0</v>
      </c>
      <c r="K257" s="77">
        <v>0</v>
      </c>
      <c r="L257" s="77">
        <v>0</v>
      </c>
      <c r="M257" s="77">
        <v>0</v>
      </c>
    </row>
    <row r="258" spans="2:13" x14ac:dyDescent="0.25">
      <c r="B258" s="1" t="s">
        <v>237</v>
      </c>
      <c r="C258" s="2"/>
      <c r="D258" s="2"/>
      <c r="E258" s="2"/>
      <c r="F258" s="10">
        <f>F65</f>
        <v>41962</v>
      </c>
      <c r="G258" s="10">
        <f>SUM(G255:G257)</f>
        <v>40862</v>
      </c>
      <c r="H258" s="10">
        <f t="shared" ref="H258:M258" si="125">SUM(H255:H257)</f>
        <v>38112</v>
      </c>
      <c r="I258" s="10">
        <f t="shared" si="125"/>
        <v>35062</v>
      </c>
      <c r="J258" s="10">
        <f t="shared" si="125"/>
        <v>32562</v>
      </c>
      <c r="K258" s="10">
        <f t="shared" si="125"/>
        <v>30062</v>
      </c>
      <c r="L258" s="10">
        <f t="shared" si="125"/>
        <v>27562</v>
      </c>
      <c r="M258" s="10">
        <f t="shared" si="125"/>
        <v>25062</v>
      </c>
    </row>
    <row r="259" spans="2:13" x14ac:dyDescent="0.25">
      <c r="B259" s="44" t="s">
        <v>51</v>
      </c>
      <c r="C259" s="2"/>
      <c r="D259" s="2"/>
      <c r="E259" s="2"/>
      <c r="F259" s="2"/>
      <c r="G259" s="10">
        <f>AVERAGE(G255,G258)*G260</f>
        <v>1573.6559999999999</v>
      </c>
      <c r="H259" s="10">
        <f t="shared" ref="H259:M259" si="126">AVERAGE(H255,H258)*H260</f>
        <v>1500.5059999999999</v>
      </c>
      <c r="I259" s="10">
        <f t="shared" si="126"/>
        <v>1390.306</v>
      </c>
      <c r="J259" s="10">
        <f t="shared" si="126"/>
        <v>1284.856</v>
      </c>
      <c r="K259" s="10">
        <f t="shared" si="126"/>
        <v>1189.856</v>
      </c>
      <c r="L259" s="10">
        <f t="shared" si="126"/>
        <v>1094.856</v>
      </c>
      <c r="M259" s="10">
        <f t="shared" si="126"/>
        <v>999.85599999999999</v>
      </c>
    </row>
    <row r="260" spans="2:13" x14ac:dyDescent="0.25">
      <c r="B260" s="68" t="s">
        <v>226</v>
      </c>
      <c r="C260" s="2"/>
      <c r="D260" s="2"/>
      <c r="E260" s="2"/>
      <c r="F260" s="74">
        <v>3.7999999999999999E-2</v>
      </c>
      <c r="G260" s="74">
        <v>3.7999999999999999E-2</v>
      </c>
      <c r="H260" s="74">
        <v>3.7999999999999999E-2</v>
      </c>
      <c r="I260" s="74">
        <v>3.7999999999999999E-2</v>
      </c>
      <c r="J260" s="74">
        <v>3.7999999999999999E-2</v>
      </c>
      <c r="K260" s="74">
        <v>3.7999999999999999E-2</v>
      </c>
      <c r="L260" s="74">
        <v>3.7999999999999999E-2</v>
      </c>
      <c r="M260" s="74">
        <v>3.7999999999999999E-2</v>
      </c>
    </row>
    <row r="261" spans="2:13" x14ac:dyDescent="0.2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2:13" x14ac:dyDescent="0.25">
      <c r="B262" s="1" t="s">
        <v>93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2:13" x14ac:dyDescent="0.25">
      <c r="B263" s="7" t="s">
        <v>238</v>
      </c>
      <c r="C263" s="2"/>
      <c r="D263" s="2"/>
      <c r="E263" s="2"/>
      <c r="F263" s="2"/>
      <c r="G263" s="10">
        <f>F266</f>
        <v>6226</v>
      </c>
      <c r="H263" s="10">
        <f t="shared" ref="H263:M263" si="127">G266</f>
        <v>6226</v>
      </c>
      <c r="I263" s="10">
        <f t="shared" si="127"/>
        <v>6226</v>
      </c>
      <c r="J263" s="10">
        <f t="shared" si="127"/>
        <v>6226</v>
      </c>
      <c r="K263" s="10">
        <f t="shared" si="127"/>
        <v>6226</v>
      </c>
      <c r="L263" s="10">
        <f t="shared" si="127"/>
        <v>6226</v>
      </c>
      <c r="M263" s="10">
        <f t="shared" si="127"/>
        <v>6226</v>
      </c>
    </row>
    <row r="264" spans="2:13" x14ac:dyDescent="0.25">
      <c r="B264" s="7" t="s">
        <v>223</v>
      </c>
      <c r="C264" s="2"/>
      <c r="D264" s="2"/>
      <c r="E264" s="2"/>
      <c r="F264" s="2"/>
      <c r="G264" s="76">
        <v>0</v>
      </c>
      <c r="H264" s="76">
        <v>0</v>
      </c>
      <c r="I264" s="76">
        <v>0</v>
      </c>
      <c r="J264" s="76">
        <v>0</v>
      </c>
      <c r="K264" s="76">
        <v>0</v>
      </c>
      <c r="L264" s="76">
        <v>0</v>
      </c>
      <c r="M264" s="76">
        <v>0</v>
      </c>
    </row>
    <row r="265" spans="2:13" x14ac:dyDescent="0.25">
      <c r="B265" s="7" t="s">
        <v>224</v>
      </c>
      <c r="C265" s="70"/>
      <c r="D265" s="70"/>
      <c r="E265" s="70"/>
      <c r="F265" s="70"/>
      <c r="G265" s="77">
        <v>0</v>
      </c>
      <c r="H265" s="77">
        <v>0</v>
      </c>
      <c r="I265" s="77">
        <v>0</v>
      </c>
      <c r="J265" s="77">
        <v>0</v>
      </c>
      <c r="K265" s="77">
        <v>0</v>
      </c>
      <c r="L265" s="77">
        <v>0</v>
      </c>
      <c r="M265" s="77">
        <v>0</v>
      </c>
    </row>
    <row r="266" spans="2:13" x14ac:dyDescent="0.25">
      <c r="B266" s="1" t="s">
        <v>239</v>
      </c>
      <c r="F266" s="10">
        <f>F66</f>
        <v>6226</v>
      </c>
      <c r="G266" s="10">
        <f>SUM(G263:G265)</f>
        <v>6226</v>
      </c>
      <c r="H266" s="10">
        <f t="shared" ref="H266:M266" si="128">SUM(H263:H265)</f>
        <v>6226</v>
      </c>
      <c r="I266" s="10">
        <f t="shared" si="128"/>
        <v>6226</v>
      </c>
      <c r="J266" s="10">
        <f t="shared" si="128"/>
        <v>6226</v>
      </c>
      <c r="K266" s="10">
        <f t="shared" si="128"/>
        <v>6226</v>
      </c>
      <c r="L266" s="10">
        <f t="shared" si="128"/>
        <v>6226</v>
      </c>
      <c r="M266" s="10">
        <f t="shared" si="128"/>
        <v>6226</v>
      </c>
    </row>
    <row r="267" spans="2:13" x14ac:dyDescent="0.25">
      <c r="B267" s="44" t="s">
        <v>51</v>
      </c>
      <c r="F267" s="10"/>
      <c r="G267" s="10">
        <f>AVERAGE(G263,G266)*G268</f>
        <v>230.36199999999999</v>
      </c>
      <c r="H267" s="10">
        <f t="shared" ref="H267:M267" si="129">AVERAGE(H263,H266)*H268</f>
        <v>230.36199999999999</v>
      </c>
      <c r="I267" s="10">
        <f t="shared" si="129"/>
        <v>230.36199999999999</v>
      </c>
      <c r="J267" s="10">
        <f t="shared" si="129"/>
        <v>230.36199999999999</v>
      </c>
      <c r="K267" s="10">
        <f t="shared" si="129"/>
        <v>230.36199999999999</v>
      </c>
      <c r="L267" s="10">
        <f t="shared" si="129"/>
        <v>230.36199999999999</v>
      </c>
      <c r="M267" s="10">
        <f t="shared" si="129"/>
        <v>230.36199999999999</v>
      </c>
    </row>
    <row r="268" spans="2:13" x14ac:dyDescent="0.25">
      <c r="B268" s="68" t="s">
        <v>226</v>
      </c>
      <c r="F268" s="74">
        <v>3.6999999999999998E-2</v>
      </c>
      <c r="G268" s="74">
        <v>3.6999999999999998E-2</v>
      </c>
      <c r="H268" s="74">
        <v>3.6999999999999998E-2</v>
      </c>
      <c r="I268" s="74">
        <v>3.6999999999999998E-2</v>
      </c>
      <c r="J268" s="74">
        <v>3.6999999999999998E-2</v>
      </c>
      <c r="K268" s="74">
        <v>3.6999999999999998E-2</v>
      </c>
      <c r="L268" s="74">
        <v>3.6999999999999998E-2</v>
      </c>
      <c r="M268" s="74">
        <v>3.6999999999999998E-2</v>
      </c>
    </row>
    <row r="269" spans="2:13" x14ac:dyDescent="0.25">
      <c r="F269" s="10"/>
      <c r="G269" s="10"/>
      <c r="H269" s="10"/>
      <c r="I269" s="10"/>
      <c r="J269" s="10"/>
      <c r="K269" s="10"/>
      <c r="L269" s="10"/>
      <c r="M269" s="10"/>
    </row>
    <row r="270" spans="2:13" x14ac:dyDescent="0.25">
      <c r="B270" s="1" t="s">
        <v>217</v>
      </c>
      <c r="C270" s="69"/>
      <c r="D270" s="69"/>
      <c r="E270" s="69"/>
      <c r="F270" s="78"/>
      <c r="G270" s="78">
        <f>G224+G225+G232+G233+G240+G241+G248+G249+G256+G257+G264+G265</f>
        <v>-1100</v>
      </c>
      <c r="H270" s="78">
        <f t="shared" ref="H270:M270" si="130">H224+H225+H232+H233+H240+H241+H248+H249+H256+H257+H264+H265</f>
        <v>-2750</v>
      </c>
      <c r="I270" s="78">
        <f t="shared" si="130"/>
        <v>-3050</v>
      </c>
      <c r="J270" s="78">
        <f t="shared" si="130"/>
        <v>-2500</v>
      </c>
      <c r="K270" s="78">
        <f t="shared" si="130"/>
        <v>-2500</v>
      </c>
      <c r="L270" s="78">
        <f t="shared" si="130"/>
        <v>-2500</v>
      </c>
      <c r="M270" s="78">
        <f t="shared" si="130"/>
        <v>-2500</v>
      </c>
    </row>
    <row r="271" spans="2:13" x14ac:dyDescent="0.25">
      <c r="F271" s="10"/>
      <c r="G271" s="10"/>
      <c r="H271" s="10"/>
      <c r="I271" s="10"/>
      <c r="J271" s="10"/>
      <c r="K271" s="10"/>
      <c r="L271" s="10"/>
      <c r="M271" s="10"/>
    </row>
    <row r="272" spans="2:13" x14ac:dyDescent="0.25">
      <c r="B272" s="1" t="s">
        <v>218</v>
      </c>
      <c r="C272" s="70"/>
      <c r="D272" s="70"/>
      <c r="E272" s="70"/>
      <c r="F272" s="69"/>
      <c r="G272" s="78">
        <f>G227+G235+G243+G251+G259+G267</f>
        <v>2132.73</v>
      </c>
      <c r="H272" s="78">
        <f t="shared" ref="H272:M272" si="131">H227+H235+H243+H251+H259+H267</f>
        <v>2059.58</v>
      </c>
      <c r="I272" s="78">
        <f t="shared" si="131"/>
        <v>1949.38</v>
      </c>
      <c r="J272" s="78">
        <f t="shared" si="131"/>
        <v>1843.93</v>
      </c>
      <c r="K272" s="78">
        <f t="shared" si="131"/>
        <v>1748.93</v>
      </c>
      <c r="L272" s="78">
        <f t="shared" si="131"/>
        <v>1653.93</v>
      </c>
      <c r="M272" s="78">
        <f t="shared" si="131"/>
        <v>1558.93</v>
      </c>
    </row>
    <row r="273" spans="2:13" x14ac:dyDescent="0.25">
      <c r="B273" s="1" t="s">
        <v>219</v>
      </c>
      <c r="C273" s="2"/>
      <c r="D273" s="2"/>
      <c r="E273" s="2"/>
      <c r="F273" s="10">
        <f>F38</f>
        <v>2757</v>
      </c>
      <c r="G273" s="10">
        <f ca="1">G217+G218+G270</f>
        <v>9019.3589852434743</v>
      </c>
      <c r="H273" s="10">
        <f t="shared" ref="H273:M273" ca="1" si="132">H217+H218+H270</f>
        <v>11099.690422917234</v>
      </c>
      <c r="I273" s="10">
        <f t="shared" ca="1" si="132"/>
        <v>13201.278873290694</v>
      </c>
      <c r="J273" s="10">
        <f t="shared" ca="1" si="132"/>
        <v>16353.217737021885</v>
      </c>
      <c r="K273" s="10">
        <f t="shared" ca="1" si="132"/>
        <v>20182.162954871466</v>
      </c>
      <c r="L273" s="10">
        <f t="shared" ca="1" si="132"/>
        <v>24676.536900523104</v>
      </c>
      <c r="M273" s="10">
        <f t="shared" ca="1" si="132"/>
        <v>29958.374812821246</v>
      </c>
    </row>
    <row r="274" spans="2:13" x14ac:dyDescent="0.25">
      <c r="B274" s="7" t="s">
        <v>220</v>
      </c>
      <c r="C274" s="2"/>
      <c r="D274" s="2"/>
      <c r="E274" s="2"/>
      <c r="F274" s="10"/>
      <c r="G274" s="10">
        <f ca="1">AVERAGE(G217,G273)*G275</f>
        <v>58.881794926217374</v>
      </c>
      <c r="H274" s="10">
        <f t="shared" ref="H274:M274" ca="1" si="133">AVERAGE(H217,H273)*H275</f>
        <v>100.59524704080356</v>
      </c>
      <c r="I274" s="10">
        <f t="shared" ca="1" si="133"/>
        <v>121.50484648103964</v>
      </c>
      <c r="J274" s="10">
        <f t="shared" ca="1" si="133"/>
        <v>147.77248305156289</v>
      </c>
      <c r="K274" s="10">
        <f t="shared" ca="1" si="133"/>
        <v>182.67690345946679</v>
      </c>
      <c r="L274" s="10">
        <f t="shared" ca="1" si="133"/>
        <v>224.29349927697288</v>
      </c>
      <c r="M274" s="10">
        <f t="shared" ca="1" si="133"/>
        <v>273.17455856672177</v>
      </c>
    </row>
    <row r="275" spans="2:13" x14ac:dyDescent="0.25">
      <c r="B275" s="7" t="s">
        <v>221</v>
      </c>
      <c r="C275" s="2"/>
      <c r="D275" s="2"/>
      <c r="E275" s="2"/>
      <c r="F275" s="74">
        <v>0.01</v>
      </c>
      <c r="G275" s="74">
        <v>0.01</v>
      </c>
      <c r="H275" s="74">
        <v>0.01</v>
      </c>
      <c r="I275" s="74">
        <v>0.01</v>
      </c>
      <c r="J275" s="74">
        <v>0.01</v>
      </c>
      <c r="K275" s="74">
        <v>0.01</v>
      </c>
      <c r="L275" s="74">
        <v>0.01</v>
      </c>
      <c r="M275" s="74">
        <v>0.01</v>
      </c>
    </row>
  </sheetData>
  <mergeCells count="2">
    <mergeCell ref="C8:F8"/>
    <mergeCell ref="G8:M8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AC59-315E-4C06-A4DA-ADD4A3359B6B}">
  <dimension ref="B3:AQ142"/>
  <sheetViews>
    <sheetView showGridLines="0" topLeftCell="A3" zoomScaleNormal="100" workbookViewId="0">
      <pane xSplit="2" ySplit="6" topLeftCell="G9" activePane="bottomRight" state="frozen"/>
      <selection activeCell="A3" sqref="A3"/>
      <selection pane="topRight" activeCell="C3" sqref="C3"/>
      <selection pane="bottomLeft" activeCell="A9" sqref="A9"/>
      <selection pane="bottomRight" activeCell="L4" sqref="L4"/>
    </sheetView>
  </sheetViews>
  <sheetFormatPr defaultColWidth="8.85546875" defaultRowHeight="12" outlineLevelRow="1" outlineLevelCol="1" x14ac:dyDescent="0.2"/>
  <cols>
    <col min="1" max="1" width="2.7109375" style="2" customWidth="1"/>
    <col min="2" max="2" width="56.85546875" style="2" customWidth="1"/>
    <col min="3" max="3" width="8.7109375" style="2" hidden="1" customWidth="1" outlineLevel="1"/>
    <col min="4" max="4" width="10.42578125" style="2" hidden="1" customWidth="1" outlineLevel="1"/>
    <col min="5" max="6" width="8.7109375" style="2" hidden="1" customWidth="1" outlineLevel="1"/>
    <col min="7" max="7" width="11.28515625" style="2" customWidth="1" collapsed="1"/>
    <col min="8" max="11" width="8.7109375" style="2" hidden="1" customWidth="1" outlineLevel="1"/>
    <col min="12" max="12" width="8.7109375" style="2" customWidth="1" collapsed="1"/>
    <col min="13" max="16" width="8.7109375" style="2" hidden="1" customWidth="1" outlineLevel="1"/>
    <col min="17" max="17" width="8.7109375" style="2" customWidth="1" collapsed="1"/>
    <col min="18" max="21" width="8.7109375" style="2" hidden="1" customWidth="1" outlineLevel="1"/>
    <col min="22" max="22" width="8.7109375" style="2" customWidth="1" collapsed="1"/>
    <col min="23" max="26" width="8.7109375" style="2" hidden="1" customWidth="1" outlineLevel="1"/>
    <col min="27" max="27" width="8.7109375" style="2" customWidth="1" collapsed="1"/>
    <col min="28" max="31" width="8.7109375" style="2" hidden="1" customWidth="1" outlineLevel="1"/>
    <col min="32" max="32" width="8.7109375" style="2" customWidth="1" collapsed="1"/>
    <col min="33" max="36" width="8.7109375" style="2" hidden="1" customWidth="1" outlineLevel="1"/>
    <col min="37" max="37" width="8.7109375" style="2" customWidth="1" collapsed="1"/>
    <col min="38" max="39" width="8.7109375" style="2" customWidth="1"/>
    <col min="40" max="43" width="8.85546875" style="2"/>
    <col min="44" max="44" width="8.85546875" style="2" customWidth="1"/>
    <col min="45" max="16384" width="8.85546875" style="2"/>
  </cols>
  <sheetData>
    <row r="3" spans="2:41" ht="20.25" x14ac:dyDescent="0.3">
      <c r="B3" s="14" t="s">
        <v>0</v>
      </c>
    </row>
    <row r="4" spans="2:41" x14ac:dyDescent="0.2">
      <c r="B4" s="1" t="s">
        <v>105</v>
      </c>
    </row>
    <row r="5" spans="2:41" x14ac:dyDescent="0.2">
      <c r="B5" s="3" t="s">
        <v>1</v>
      </c>
    </row>
    <row r="7" spans="2:41" x14ac:dyDescent="0.2">
      <c r="B7" s="2" t="s">
        <v>3</v>
      </c>
      <c r="C7" s="4">
        <f>DATE(2020,5,3)</f>
        <v>43954</v>
      </c>
      <c r="D7" s="4">
        <f>DATE(2020,8,2)</f>
        <v>44045</v>
      </c>
      <c r="E7" s="4">
        <f>DATE(2020,11,1)</f>
        <v>44136</v>
      </c>
      <c r="F7" s="4">
        <f>DATE(2021,1,31)</f>
        <v>44227</v>
      </c>
      <c r="G7" s="4">
        <f>DATE(2021,1,31)</f>
        <v>44227</v>
      </c>
      <c r="H7" s="4">
        <f>DATE(2021,5,2)</f>
        <v>44318</v>
      </c>
      <c r="I7" s="4">
        <f>DATE(2021,8,1)</f>
        <v>44409</v>
      </c>
      <c r="J7" s="4">
        <f>DATE(2021,10,31)</f>
        <v>44500</v>
      </c>
      <c r="K7" s="4">
        <f>DATE(2022,1,30)</f>
        <v>44591</v>
      </c>
      <c r="L7" s="4">
        <f>DATE(2022,1,30)</f>
        <v>44591</v>
      </c>
      <c r="M7" s="4">
        <f>DATE(2022,5,1)</f>
        <v>44682</v>
      </c>
      <c r="N7" s="4">
        <f>DATE(2022,7,31)</f>
        <v>44773</v>
      </c>
      <c r="O7" s="4">
        <f>DATE(2022,10,30)</f>
        <v>44864</v>
      </c>
      <c r="P7" s="4">
        <f>DATE(2022,1,29)</f>
        <v>44590</v>
      </c>
      <c r="Q7" s="4">
        <f>DATE(2022,1,29)</f>
        <v>44590</v>
      </c>
      <c r="R7" s="4">
        <f>DATE(2023,4,30)</f>
        <v>45046</v>
      </c>
      <c r="S7" s="4">
        <f>DATE(2023,7,30)</f>
        <v>45137</v>
      </c>
      <c r="T7" s="4">
        <f>DATE(2023,10,29)</f>
        <v>45228</v>
      </c>
      <c r="U7" s="4">
        <f>DATE(2024,1,28)</f>
        <v>45319</v>
      </c>
      <c r="V7" s="4">
        <f>DATE(2024,1,28)</f>
        <v>45319</v>
      </c>
      <c r="W7" s="4">
        <f>DATE(2024,4,28)</f>
        <v>45410</v>
      </c>
      <c r="X7" s="4">
        <f>DATE(2024,7,28)</f>
        <v>45501</v>
      </c>
      <c r="Y7" s="4">
        <f>DATE(2024,10,27)</f>
        <v>45592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2:41" x14ac:dyDescent="0.2">
      <c r="B8" s="2" t="s">
        <v>63</v>
      </c>
      <c r="C8" s="15" t="s">
        <v>9</v>
      </c>
      <c r="D8" s="15" t="s">
        <v>10</v>
      </c>
      <c r="E8" s="15" t="s">
        <v>11</v>
      </c>
      <c r="F8" s="15" t="s">
        <v>12</v>
      </c>
      <c r="G8" s="30" t="s">
        <v>8</v>
      </c>
      <c r="H8" s="15" t="s">
        <v>4</v>
      </c>
      <c r="I8" s="15" t="s">
        <v>5</v>
      </c>
      <c r="J8" s="15" t="s">
        <v>6</v>
      </c>
      <c r="K8" s="15" t="s">
        <v>7</v>
      </c>
      <c r="L8" s="15" t="s">
        <v>14</v>
      </c>
      <c r="M8" s="15" t="s">
        <v>15</v>
      </c>
      <c r="N8" s="15" t="s">
        <v>16</v>
      </c>
      <c r="O8" s="15" t="s">
        <v>17</v>
      </c>
      <c r="P8" s="15" t="s">
        <v>18</v>
      </c>
      <c r="Q8" s="15" t="s">
        <v>19</v>
      </c>
      <c r="R8" s="15" t="s">
        <v>20</v>
      </c>
      <c r="S8" s="15" t="s">
        <v>21</v>
      </c>
      <c r="T8" s="15" t="s">
        <v>22</v>
      </c>
      <c r="U8" s="15" t="s">
        <v>23</v>
      </c>
      <c r="V8" s="15" t="s">
        <v>24</v>
      </c>
      <c r="W8" s="15" t="s">
        <v>25</v>
      </c>
      <c r="X8" s="15" t="s">
        <v>26</v>
      </c>
      <c r="Y8" s="15" t="s">
        <v>13</v>
      </c>
      <c r="Z8" s="15" t="s">
        <v>27</v>
      </c>
      <c r="AA8" s="15" t="s">
        <v>28</v>
      </c>
      <c r="AB8" s="15" t="s">
        <v>29</v>
      </c>
      <c r="AC8" s="15" t="s">
        <v>30</v>
      </c>
      <c r="AD8" s="15" t="s">
        <v>31</v>
      </c>
      <c r="AE8" s="15" t="s">
        <v>32</v>
      </c>
      <c r="AF8" s="15" t="s">
        <v>33</v>
      </c>
      <c r="AG8" s="15" t="s">
        <v>34</v>
      </c>
      <c r="AH8" s="15" t="s">
        <v>35</v>
      </c>
      <c r="AI8" s="15" t="s">
        <v>36</v>
      </c>
      <c r="AJ8" s="15" t="s">
        <v>37</v>
      </c>
      <c r="AK8" s="15" t="s">
        <v>38</v>
      </c>
      <c r="AL8" s="15" t="s">
        <v>39</v>
      </c>
      <c r="AM8" s="15" t="s">
        <v>40</v>
      </c>
      <c r="AN8" s="15" t="s">
        <v>41</v>
      </c>
      <c r="AO8" s="15" t="s">
        <v>42</v>
      </c>
    </row>
    <row r="9" spans="2:41" x14ac:dyDescent="0.2">
      <c r="C9" s="1"/>
      <c r="D9" s="1"/>
      <c r="E9" s="1"/>
      <c r="F9" s="1"/>
      <c r="G9" s="3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1" spans="2:41" x14ac:dyDescent="0.2">
      <c r="B11" s="5" t="s">
        <v>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spans="2:41" x14ac:dyDescent="0.2">
      <c r="B12" s="16" t="s">
        <v>43</v>
      </c>
      <c r="C12" s="17">
        <v>28260</v>
      </c>
      <c r="D12" s="17">
        <v>38053</v>
      </c>
      <c r="E12" s="17">
        <v>33536</v>
      </c>
      <c r="F12" s="17">
        <f>G12-C12-D12-E12</f>
        <v>32261</v>
      </c>
      <c r="G12" s="17">
        <v>132110</v>
      </c>
      <c r="H12" s="17">
        <v>37500</v>
      </c>
      <c r="I12" s="17">
        <v>41118</v>
      </c>
      <c r="J12" s="17">
        <v>36820</v>
      </c>
      <c r="K12" s="17">
        <f>L12-H12-I12-J12</f>
        <v>35719</v>
      </c>
      <c r="L12" s="17">
        <v>151157</v>
      </c>
      <c r="M12" s="17">
        <v>38908</v>
      </c>
      <c r="N12" s="17">
        <v>43792</v>
      </c>
      <c r="O12" s="17">
        <v>38872</v>
      </c>
      <c r="P12" s="17">
        <f>Q12-M12-N12-O12</f>
        <v>35831</v>
      </c>
      <c r="Q12" s="17">
        <v>157403</v>
      </c>
      <c r="R12" s="17">
        <v>37257</v>
      </c>
      <c r="S12" s="17">
        <v>42916</v>
      </c>
      <c r="T12" s="17">
        <v>37710</v>
      </c>
      <c r="U12" s="17">
        <f>V12-R12-S12-T12</f>
        <v>34786</v>
      </c>
      <c r="V12" s="17">
        <v>152669</v>
      </c>
      <c r="W12" s="17">
        <v>36418</v>
      </c>
      <c r="X12" s="17">
        <v>43175</v>
      </c>
      <c r="Y12" s="17">
        <v>40217</v>
      </c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</row>
    <row r="13" spans="2:41" s="39" customFormat="1" outlineLevel="1" x14ac:dyDescent="0.2">
      <c r="B13" s="44" t="s">
        <v>147</v>
      </c>
      <c r="C13" s="40"/>
      <c r="D13" s="41"/>
      <c r="E13" s="41"/>
      <c r="F13" s="41"/>
      <c r="G13" s="42"/>
      <c r="H13" s="41">
        <f t="shared" ref="H13:Y13" si="0">H12/C12-1</f>
        <v>0.3269639065817409</v>
      </c>
      <c r="I13" s="41">
        <f t="shared" si="0"/>
        <v>8.0545554883977521E-2</v>
      </c>
      <c r="J13" s="41">
        <f t="shared" si="0"/>
        <v>9.7924618320610612E-2</v>
      </c>
      <c r="K13" s="41">
        <f t="shared" si="0"/>
        <v>0.10718824586962583</v>
      </c>
      <c r="L13" s="43">
        <f t="shared" si="0"/>
        <v>0.14417530845507542</v>
      </c>
      <c r="M13" s="41">
        <f t="shared" si="0"/>
        <v>3.7546666666666617E-2</v>
      </c>
      <c r="N13" s="41">
        <f t="shared" si="0"/>
        <v>6.5032345931222313E-2</v>
      </c>
      <c r="O13" s="41">
        <f t="shared" si="0"/>
        <v>5.5730581205866381E-2</v>
      </c>
      <c r="P13" s="41">
        <f t="shared" si="0"/>
        <v>3.1355861026345355E-3</v>
      </c>
      <c r="Q13" s="43">
        <f t="shared" si="0"/>
        <v>4.1321275230389531E-2</v>
      </c>
      <c r="R13" s="41">
        <f t="shared" si="0"/>
        <v>-4.2433432713066765E-2</v>
      </c>
      <c r="S13" s="41">
        <f t="shared" si="0"/>
        <v>-2.0003653635367158E-2</v>
      </c>
      <c r="T13" s="41">
        <f t="shared" si="0"/>
        <v>-2.9892982095081289E-2</v>
      </c>
      <c r="U13" s="41">
        <f t="shared" si="0"/>
        <v>-2.9164689793753973E-2</v>
      </c>
      <c r="V13" s="43">
        <f t="shared" si="0"/>
        <v>-3.0075665648049865E-2</v>
      </c>
      <c r="W13" s="41">
        <f t="shared" si="0"/>
        <v>-2.2519258125989761E-2</v>
      </c>
      <c r="X13" s="41">
        <f t="shared" si="0"/>
        <v>6.0350452045856429E-3</v>
      </c>
      <c r="Y13" s="41">
        <f t="shared" si="0"/>
        <v>6.6481039512065854E-2</v>
      </c>
      <c r="Z13" s="40"/>
      <c r="AA13" s="43"/>
      <c r="AB13" s="40"/>
      <c r="AC13" s="40"/>
      <c r="AD13" s="40"/>
      <c r="AE13" s="40"/>
      <c r="AF13" s="43"/>
      <c r="AG13" s="40"/>
      <c r="AH13" s="40"/>
      <c r="AI13" s="40"/>
      <c r="AJ13" s="40"/>
      <c r="AK13" s="43"/>
      <c r="AL13" s="43"/>
      <c r="AM13" s="43"/>
      <c r="AN13" s="43"/>
      <c r="AO13" s="43"/>
    </row>
    <row r="14" spans="2:41" x14ac:dyDescent="0.2">
      <c r="B14" s="7" t="s">
        <v>66</v>
      </c>
      <c r="C14" s="11">
        <v>18635</v>
      </c>
      <c r="D14" s="11">
        <v>25112</v>
      </c>
      <c r="E14" s="11">
        <v>22080</v>
      </c>
      <c r="F14" s="11">
        <f>G14-C14-D14-E14</f>
        <v>21430</v>
      </c>
      <c r="G14" s="22">
        <v>87257</v>
      </c>
      <c r="H14" s="11">
        <v>24758</v>
      </c>
      <c r="I14" s="11">
        <v>27453</v>
      </c>
      <c r="J14" s="11">
        <v>24257</v>
      </c>
      <c r="K14" s="11">
        <f>L14-H14-I14-J14</f>
        <v>23857</v>
      </c>
      <c r="L14" s="22">
        <v>100325</v>
      </c>
      <c r="M14" s="11">
        <v>25763</v>
      </c>
      <c r="N14" s="11">
        <v>29309</v>
      </c>
      <c r="O14" s="11">
        <v>25648</v>
      </c>
      <c r="P14" s="11">
        <f>Q14-M14-N14-O14</f>
        <v>23905</v>
      </c>
      <c r="Q14" s="22">
        <v>104625</v>
      </c>
      <c r="R14" s="11">
        <v>24700</v>
      </c>
      <c r="S14" s="11">
        <v>28759</v>
      </c>
      <c r="T14" s="11">
        <v>24972</v>
      </c>
      <c r="U14" s="11">
        <f>V14-R14-S14-T14</f>
        <v>23278</v>
      </c>
      <c r="V14" s="22">
        <v>101709</v>
      </c>
      <c r="W14" s="11">
        <v>23985</v>
      </c>
      <c r="X14" s="11">
        <v>28759</v>
      </c>
      <c r="Y14" s="11">
        <v>26792</v>
      </c>
      <c r="Z14" s="11"/>
      <c r="AA14" s="46"/>
      <c r="AB14" s="48"/>
      <c r="AC14" s="48"/>
      <c r="AD14" s="48"/>
      <c r="AE14" s="48"/>
      <c r="AF14" s="46"/>
      <c r="AG14" s="48"/>
      <c r="AH14" s="48"/>
      <c r="AI14" s="48"/>
      <c r="AJ14" s="48"/>
      <c r="AK14" s="46"/>
      <c r="AL14" s="46"/>
      <c r="AM14" s="46"/>
      <c r="AN14" s="46"/>
      <c r="AO14" s="46"/>
    </row>
    <row r="15" spans="2:41" x14ac:dyDescent="0.2">
      <c r="B15" s="44" t="s">
        <v>148</v>
      </c>
      <c r="C15" s="11"/>
      <c r="D15" s="11"/>
      <c r="E15" s="11"/>
      <c r="F15" s="11"/>
      <c r="G15" s="43">
        <f t="shared" ref="G15:Y15" si="1">G14/G12</f>
        <v>0.6604874725607448</v>
      </c>
      <c r="H15" s="41">
        <f t="shared" si="1"/>
        <v>0.66021333333333332</v>
      </c>
      <c r="I15" s="41">
        <f t="shared" si="1"/>
        <v>0.66766379687728006</v>
      </c>
      <c r="J15" s="41">
        <f t="shared" si="1"/>
        <v>0.65879956545355789</v>
      </c>
      <c r="K15" s="41">
        <f t="shared" si="1"/>
        <v>0.6679078361656261</v>
      </c>
      <c r="L15" s="43">
        <f t="shared" si="1"/>
        <v>0.66371388688582067</v>
      </c>
      <c r="M15" s="41">
        <f t="shared" si="1"/>
        <v>0.66215174257222165</v>
      </c>
      <c r="N15" s="41">
        <f t="shared" si="1"/>
        <v>0.66927749360613809</v>
      </c>
      <c r="O15" s="41">
        <f t="shared" si="1"/>
        <v>0.65980654455649312</v>
      </c>
      <c r="P15" s="41">
        <f t="shared" si="1"/>
        <v>0.66715972202841112</v>
      </c>
      <c r="Q15" s="43">
        <f t="shared" si="1"/>
        <v>0.66469508205053274</v>
      </c>
      <c r="R15" s="41">
        <f t="shared" si="1"/>
        <v>0.66296266473414389</v>
      </c>
      <c r="S15" s="41">
        <f t="shared" si="1"/>
        <v>0.67012303103737536</v>
      </c>
      <c r="T15" s="41">
        <f t="shared" si="1"/>
        <v>0.66221161495624503</v>
      </c>
      <c r="U15" s="41">
        <f t="shared" si="1"/>
        <v>0.66917725521761628</v>
      </c>
      <c r="V15" s="43">
        <f t="shared" si="1"/>
        <v>0.66620597501784906</v>
      </c>
      <c r="W15" s="41">
        <f t="shared" si="1"/>
        <v>0.65860288868142125</v>
      </c>
      <c r="X15" s="41">
        <f t="shared" si="1"/>
        <v>0.66610306890561666</v>
      </c>
      <c r="Y15" s="41">
        <f t="shared" si="1"/>
        <v>0.66618594126861774</v>
      </c>
      <c r="Z15" s="41"/>
      <c r="AA15" s="43"/>
      <c r="AB15" s="41"/>
      <c r="AC15" s="41"/>
      <c r="AD15" s="41"/>
      <c r="AE15" s="41"/>
      <c r="AF15" s="43"/>
      <c r="AG15" s="41"/>
      <c r="AH15" s="41"/>
      <c r="AI15" s="41"/>
      <c r="AJ15" s="41"/>
      <c r="AK15" s="43"/>
      <c r="AL15" s="43"/>
      <c r="AM15" s="43"/>
      <c r="AN15" s="43"/>
      <c r="AO15" s="43"/>
    </row>
    <row r="16" spans="2:41" x14ac:dyDescent="0.2">
      <c r="B16" s="16" t="s">
        <v>44</v>
      </c>
      <c r="C16" s="18">
        <f>C12-C14</f>
        <v>9625</v>
      </c>
      <c r="D16" s="18">
        <f>D12-D14</f>
        <v>12941</v>
      </c>
      <c r="E16" s="18">
        <f>E12-E14</f>
        <v>11456</v>
      </c>
      <c r="F16" s="18">
        <f>G16-C16-D16-E16</f>
        <v>10831</v>
      </c>
      <c r="G16" s="18">
        <f>G12-G14</f>
        <v>44853</v>
      </c>
      <c r="H16" s="18">
        <f>H12-H14</f>
        <v>12742</v>
      </c>
      <c r="I16" s="18">
        <f>I12-I14</f>
        <v>13665</v>
      </c>
      <c r="J16" s="18">
        <f>J12-J14</f>
        <v>12563</v>
      </c>
      <c r="K16" s="20">
        <f>L16-H16-I16-J16</f>
        <v>11862</v>
      </c>
      <c r="L16" s="18">
        <f>L12-L14</f>
        <v>50832</v>
      </c>
      <c r="M16" s="18">
        <f>M12-M14</f>
        <v>13145</v>
      </c>
      <c r="N16" s="18">
        <f>N12-N14</f>
        <v>14483</v>
      </c>
      <c r="O16" s="18">
        <f>O12-O14</f>
        <v>13224</v>
      </c>
      <c r="P16" s="20">
        <f>Q16-M16-N16-O16</f>
        <v>11926</v>
      </c>
      <c r="Q16" s="18">
        <f t="shared" ref="Q16:Y16" si="2">Q12-Q14</f>
        <v>52778</v>
      </c>
      <c r="R16" s="18">
        <f t="shared" si="2"/>
        <v>12557</v>
      </c>
      <c r="S16" s="18">
        <f t="shared" si="2"/>
        <v>14157</v>
      </c>
      <c r="T16" s="18">
        <f t="shared" si="2"/>
        <v>12738</v>
      </c>
      <c r="U16" s="18">
        <f t="shared" si="2"/>
        <v>11508</v>
      </c>
      <c r="V16" s="18">
        <f t="shared" si="2"/>
        <v>50960</v>
      </c>
      <c r="W16" s="18">
        <f t="shared" si="2"/>
        <v>12433</v>
      </c>
      <c r="X16" s="18">
        <f t="shared" si="2"/>
        <v>14416</v>
      </c>
      <c r="Y16" s="18">
        <f t="shared" si="2"/>
        <v>13425</v>
      </c>
      <c r="Z16" s="19"/>
      <c r="AA16" s="20"/>
      <c r="AB16" s="19"/>
      <c r="AC16" s="19"/>
      <c r="AD16" s="19"/>
      <c r="AE16" s="19"/>
      <c r="AF16" s="20"/>
      <c r="AG16" s="19"/>
      <c r="AH16" s="19"/>
      <c r="AI16" s="19"/>
      <c r="AJ16" s="19"/>
      <c r="AK16" s="20"/>
      <c r="AL16" s="20"/>
      <c r="AM16" s="20"/>
      <c r="AN16" s="20"/>
      <c r="AO16" s="20"/>
    </row>
    <row r="17" spans="2:43" x14ac:dyDescent="0.2">
      <c r="B17" s="2" t="s">
        <v>45</v>
      </c>
      <c r="C17" s="11"/>
      <c r="G17" s="23"/>
      <c r="H17" s="11"/>
      <c r="I17" s="11"/>
      <c r="J17" s="11"/>
      <c r="K17" s="11"/>
      <c r="L17" s="23"/>
      <c r="P17" s="10"/>
      <c r="Q17" s="22"/>
      <c r="V17" s="23"/>
      <c r="AA17" s="23"/>
      <c r="AF17" s="23"/>
      <c r="AK17" s="23"/>
      <c r="AL17" s="23"/>
      <c r="AM17" s="23"/>
      <c r="AN17" s="23"/>
      <c r="AO17" s="23"/>
      <c r="AQ17" s="2" t="s">
        <v>89</v>
      </c>
    </row>
    <row r="18" spans="2:43" x14ac:dyDescent="0.2">
      <c r="B18" s="7" t="s">
        <v>46</v>
      </c>
      <c r="C18" s="11">
        <v>5829</v>
      </c>
      <c r="D18" s="11">
        <v>6355</v>
      </c>
      <c r="E18" s="11">
        <v>6076</v>
      </c>
      <c r="F18" s="11">
        <f>G18-C18-D18-E18</f>
        <v>6187</v>
      </c>
      <c r="G18" s="22">
        <v>24447</v>
      </c>
      <c r="H18" s="11">
        <v>6374</v>
      </c>
      <c r="I18" s="11">
        <v>6433</v>
      </c>
      <c r="J18" s="11">
        <v>6168</v>
      </c>
      <c r="K18" s="11">
        <f>L18-H18-I18-J18</f>
        <v>6431</v>
      </c>
      <c r="L18" s="22">
        <v>25406</v>
      </c>
      <c r="M18" s="11">
        <v>6610</v>
      </c>
      <c r="N18" s="11">
        <v>6657</v>
      </c>
      <c r="O18" s="11">
        <v>6468</v>
      </c>
      <c r="P18" s="11">
        <f>Q18-M18-N18-O18</f>
        <v>6549</v>
      </c>
      <c r="Q18" s="22">
        <v>26284</v>
      </c>
      <c r="R18" s="11">
        <v>6355</v>
      </c>
      <c r="S18" s="11">
        <v>6915</v>
      </c>
      <c r="T18" s="11">
        <v>6649</v>
      </c>
      <c r="U18" s="11">
        <f>V18-R18-S18-T18</f>
        <v>6679</v>
      </c>
      <c r="V18" s="22">
        <v>26598</v>
      </c>
      <c r="W18" s="11">
        <v>6667</v>
      </c>
      <c r="X18" s="11">
        <v>7144</v>
      </c>
      <c r="Y18" s="11">
        <v>7212</v>
      </c>
      <c r="Z18" s="11"/>
      <c r="AA18" s="46"/>
      <c r="AB18" s="48"/>
      <c r="AC18" s="48"/>
      <c r="AD18" s="48"/>
      <c r="AE18" s="48"/>
      <c r="AF18" s="46"/>
      <c r="AG18" s="48"/>
      <c r="AH18" s="48"/>
      <c r="AI18" s="48"/>
      <c r="AJ18" s="48"/>
      <c r="AK18" s="46"/>
      <c r="AL18" s="46"/>
      <c r="AM18" s="46"/>
      <c r="AN18" s="46"/>
      <c r="AO18" s="46"/>
    </row>
    <row r="19" spans="2:43" x14ac:dyDescent="0.2">
      <c r="B19" s="44" t="s">
        <v>149</v>
      </c>
      <c r="C19" s="11"/>
      <c r="D19" s="11"/>
      <c r="E19" s="11"/>
      <c r="F19" s="11"/>
      <c r="G19" s="43">
        <f>G18/G12</f>
        <v>0.1850503368405117</v>
      </c>
      <c r="H19" s="11"/>
      <c r="I19" s="11"/>
      <c r="J19" s="11"/>
      <c r="K19" s="11"/>
      <c r="L19" s="43">
        <f>L18/L12</f>
        <v>0.16807690017663754</v>
      </c>
      <c r="M19" s="11"/>
      <c r="N19" s="11"/>
      <c r="O19" s="11"/>
      <c r="P19" s="11"/>
      <c r="Q19" s="43">
        <f>Q18/Q12</f>
        <v>0.16698538147303418</v>
      </c>
      <c r="R19" s="11"/>
      <c r="S19" s="11"/>
      <c r="T19" s="11"/>
      <c r="U19" s="11"/>
      <c r="V19" s="43">
        <f>V18/V12</f>
        <v>0.17422004467180632</v>
      </c>
      <c r="W19" s="11"/>
      <c r="X19" s="11"/>
      <c r="Y19" s="11"/>
      <c r="Z19" s="11"/>
      <c r="AA19" s="47"/>
      <c r="AF19" s="47"/>
      <c r="AK19" s="47"/>
      <c r="AL19" s="47"/>
      <c r="AM19" s="47"/>
      <c r="AN19" s="47"/>
      <c r="AO19" s="47"/>
    </row>
    <row r="20" spans="2:43" x14ac:dyDescent="0.2">
      <c r="B20" s="16" t="s">
        <v>48</v>
      </c>
      <c r="C20" s="20">
        <f t="shared" ref="C20:J20" si="3">C23+C21</f>
        <v>3796</v>
      </c>
      <c r="D20" s="20">
        <f t="shared" si="3"/>
        <v>6586</v>
      </c>
      <c r="E20" s="20">
        <f t="shared" si="3"/>
        <v>5380</v>
      </c>
      <c r="F20" s="20">
        <f t="shared" si="3"/>
        <v>4644</v>
      </c>
      <c r="G20" s="20">
        <f t="shared" si="3"/>
        <v>20406</v>
      </c>
      <c r="H20" s="20">
        <f t="shared" si="3"/>
        <v>6368</v>
      </c>
      <c r="I20" s="20">
        <f t="shared" si="3"/>
        <v>7232</v>
      </c>
      <c r="J20" s="20">
        <f t="shared" si="3"/>
        <v>6395</v>
      </c>
      <c r="K20" s="20">
        <f>L20-H20-I20-J20</f>
        <v>5431</v>
      </c>
      <c r="L20" s="20">
        <f t="shared" ref="L20:Y20" si="4">L23+L21</f>
        <v>25426</v>
      </c>
      <c r="M20" s="20">
        <f t="shared" si="4"/>
        <v>6535</v>
      </c>
      <c r="N20" s="20">
        <f t="shared" si="4"/>
        <v>7826</v>
      </c>
      <c r="O20" s="20">
        <f t="shared" si="4"/>
        <v>6756</v>
      </c>
      <c r="P20" s="20">
        <f t="shared" si="4"/>
        <v>5377</v>
      </c>
      <c r="Q20" s="20">
        <f t="shared" si="4"/>
        <v>26494</v>
      </c>
      <c r="R20" s="20">
        <f t="shared" si="4"/>
        <v>6202</v>
      </c>
      <c r="S20" s="20">
        <f t="shared" si="4"/>
        <v>7242</v>
      </c>
      <c r="T20" s="20">
        <f t="shared" si="4"/>
        <v>6089</v>
      </c>
      <c r="U20" s="20">
        <f t="shared" si="4"/>
        <v>4829</v>
      </c>
      <c r="V20" s="20">
        <f>V23+V21</f>
        <v>24362</v>
      </c>
      <c r="W20" s="20">
        <f t="shared" si="4"/>
        <v>5766</v>
      </c>
      <c r="X20" s="20">
        <f t="shared" si="4"/>
        <v>7272</v>
      </c>
      <c r="Y20" s="20">
        <f t="shared" si="4"/>
        <v>6213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spans="2:43" x14ac:dyDescent="0.2">
      <c r="B21" s="9" t="s">
        <v>54</v>
      </c>
      <c r="C21" s="11">
        <v>520</v>
      </c>
      <c r="D21" s="11">
        <v>519</v>
      </c>
      <c r="E21" s="11">
        <v>528</v>
      </c>
      <c r="F21" s="11">
        <f>G21-C21-D21-E21</f>
        <v>561</v>
      </c>
      <c r="G21" s="22">
        <v>2128</v>
      </c>
      <c r="H21" s="11">
        <v>587</v>
      </c>
      <c r="I21" s="11">
        <v>593</v>
      </c>
      <c r="J21" s="11">
        <v>600</v>
      </c>
      <c r="K21" s="11">
        <f>L21-H21-I21-J21</f>
        <v>606</v>
      </c>
      <c r="L21" s="22">
        <v>2386</v>
      </c>
      <c r="M21" s="11">
        <v>606</v>
      </c>
      <c r="N21" s="11">
        <v>616</v>
      </c>
      <c r="O21" s="11">
        <v>608</v>
      </c>
      <c r="P21" s="11">
        <f>Q21-M21-N21-O21</f>
        <v>625</v>
      </c>
      <c r="Q21" s="22">
        <v>2455</v>
      </c>
      <c r="R21" s="11">
        <v>651</v>
      </c>
      <c r="S21" s="11">
        <v>653</v>
      </c>
      <c r="T21" s="11">
        <v>683</v>
      </c>
      <c r="U21" s="11">
        <f>V21-R21-S21-T21</f>
        <v>686</v>
      </c>
      <c r="V21" s="22">
        <v>2673</v>
      </c>
      <c r="W21" s="11">
        <v>687</v>
      </c>
      <c r="X21" s="11">
        <v>738</v>
      </c>
      <c r="Y21" s="11">
        <v>795</v>
      </c>
      <c r="Z21" s="11"/>
      <c r="AA21" s="23"/>
      <c r="AF21" s="23"/>
      <c r="AK21" s="23"/>
      <c r="AL21" s="23"/>
      <c r="AM21" s="23"/>
      <c r="AN21" s="23"/>
      <c r="AO21" s="23"/>
    </row>
    <row r="22" spans="2:43" x14ac:dyDescent="0.2">
      <c r="B22" s="8" t="s">
        <v>55</v>
      </c>
      <c r="C22" s="12">
        <f t="shared" ref="C22:Y22" si="5">C21/C12</f>
        <v>1.840056617126681E-2</v>
      </c>
      <c r="D22" s="12">
        <f t="shared" si="5"/>
        <v>1.3638872099440254E-2</v>
      </c>
      <c r="E22" s="12">
        <f t="shared" si="5"/>
        <v>1.5744274809160304E-2</v>
      </c>
      <c r="F22" s="12">
        <f t="shared" si="5"/>
        <v>1.7389417563001767E-2</v>
      </c>
      <c r="G22" s="24">
        <f t="shared" si="5"/>
        <v>1.6107788963742337E-2</v>
      </c>
      <c r="H22" s="12">
        <f t="shared" si="5"/>
        <v>1.5653333333333332E-2</v>
      </c>
      <c r="I22" s="12">
        <f t="shared" si="5"/>
        <v>1.4421907680334647E-2</v>
      </c>
      <c r="J22" s="12">
        <f t="shared" si="5"/>
        <v>1.6295491580662683E-2</v>
      </c>
      <c r="K22" s="12">
        <f t="shared" si="5"/>
        <v>1.6965760519611413E-2</v>
      </c>
      <c r="L22" s="24">
        <f t="shared" si="5"/>
        <v>1.578491237587409E-2</v>
      </c>
      <c r="M22" s="12">
        <f t="shared" si="5"/>
        <v>1.5575203043075974E-2</v>
      </c>
      <c r="N22" s="12">
        <f t="shared" si="5"/>
        <v>1.4066496163682864E-2</v>
      </c>
      <c r="O22" s="12">
        <f t="shared" si="5"/>
        <v>1.5641078411195719E-2</v>
      </c>
      <c r="P22" s="12">
        <f t="shared" si="5"/>
        <v>1.744299628813039E-2</v>
      </c>
      <c r="Q22" s="24">
        <f t="shared" si="5"/>
        <v>1.5596907301639739E-2</v>
      </c>
      <c r="R22" s="12">
        <f t="shared" si="5"/>
        <v>1.7473226507770351E-2</v>
      </c>
      <c r="S22" s="12">
        <f t="shared" si="5"/>
        <v>1.5215770342063567E-2</v>
      </c>
      <c r="T22" s="12">
        <f t="shared" si="5"/>
        <v>1.8111906656059402E-2</v>
      </c>
      <c r="U22" s="12">
        <f t="shared" si="5"/>
        <v>1.9720577243718736E-2</v>
      </c>
      <c r="V22" s="24">
        <f t="shared" si="5"/>
        <v>1.7508466027811802E-2</v>
      </c>
      <c r="W22" s="12">
        <f t="shared" si="5"/>
        <v>1.8864297874677357E-2</v>
      </c>
      <c r="X22" s="12">
        <f t="shared" si="5"/>
        <v>1.7093225246091488E-2</v>
      </c>
      <c r="Y22" s="12">
        <f t="shared" si="5"/>
        <v>1.976775990252878E-2</v>
      </c>
      <c r="AA22" s="23"/>
      <c r="AF22" s="23"/>
      <c r="AK22" s="23"/>
      <c r="AL22" s="23"/>
      <c r="AM22" s="23"/>
      <c r="AN22" s="23"/>
      <c r="AO22" s="23"/>
    </row>
    <row r="23" spans="2:43" x14ac:dyDescent="0.2">
      <c r="B23" s="16" t="s">
        <v>47</v>
      </c>
      <c r="C23" s="20">
        <f t="shared" ref="C23:J23" si="6">C16-C18-C21</f>
        <v>3276</v>
      </c>
      <c r="D23" s="20">
        <f t="shared" si="6"/>
        <v>6067</v>
      </c>
      <c r="E23" s="20">
        <f t="shared" si="6"/>
        <v>4852</v>
      </c>
      <c r="F23" s="20">
        <f t="shared" si="6"/>
        <v>4083</v>
      </c>
      <c r="G23" s="20">
        <f t="shared" si="6"/>
        <v>18278</v>
      </c>
      <c r="H23" s="20">
        <f t="shared" si="6"/>
        <v>5781</v>
      </c>
      <c r="I23" s="20">
        <f t="shared" si="6"/>
        <v>6639</v>
      </c>
      <c r="J23" s="20">
        <f t="shared" si="6"/>
        <v>5795</v>
      </c>
      <c r="K23" s="20">
        <f>L23-H23-I23-J23</f>
        <v>4825</v>
      </c>
      <c r="L23" s="20">
        <f t="shared" ref="L23:Y23" si="7">L16-L18-L21</f>
        <v>23040</v>
      </c>
      <c r="M23" s="20">
        <f t="shared" si="7"/>
        <v>5929</v>
      </c>
      <c r="N23" s="20">
        <f t="shared" si="7"/>
        <v>7210</v>
      </c>
      <c r="O23" s="20">
        <f t="shared" si="7"/>
        <v>6148</v>
      </c>
      <c r="P23" s="20">
        <f t="shared" si="7"/>
        <v>4752</v>
      </c>
      <c r="Q23" s="20">
        <f t="shared" si="7"/>
        <v>24039</v>
      </c>
      <c r="R23" s="20">
        <f t="shared" si="7"/>
        <v>5551</v>
      </c>
      <c r="S23" s="20">
        <f t="shared" si="7"/>
        <v>6589</v>
      </c>
      <c r="T23" s="20">
        <f t="shared" si="7"/>
        <v>5406</v>
      </c>
      <c r="U23" s="20">
        <f t="shared" si="7"/>
        <v>4143</v>
      </c>
      <c r="V23" s="20">
        <f>V16-V18-V21</f>
        <v>21689</v>
      </c>
      <c r="W23" s="20">
        <f t="shared" si="7"/>
        <v>5079</v>
      </c>
      <c r="X23" s="20">
        <f t="shared" si="7"/>
        <v>6534</v>
      </c>
      <c r="Y23" s="20">
        <f t="shared" si="7"/>
        <v>5418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</row>
    <row r="24" spans="2:43" x14ac:dyDescent="0.2">
      <c r="B24" s="2" t="s">
        <v>49</v>
      </c>
      <c r="G24" s="23"/>
      <c r="K24" s="10"/>
      <c r="L24" s="23"/>
      <c r="P24" s="10"/>
      <c r="Q24" s="22"/>
      <c r="V24" s="23"/>
      <c r="AA24" s="23"/>
      <c r="AF24" s="23"/>
      <c r="AK24" s="23"/>
      <c r="AL24" s="23"/>
      <c r="AM24" s="23"/>
      <c r="AN24" s="23"/>
      <c r="AO24" s="23"/>
    </row>
    <row r="25" spans="2:43" x14ac:dyDescent="0.2">
      <c r="B25" s="7" t="s">
        <v>50</v>
      </c>
      <c r="C25" s="11">
        <v>-17</v>
      </c>
      <c r="D25" s="11">
        <v>-9</v>
      </c>
      <c r="E25" s="11">
        <v>-11</v>
      </c>
      <c r="F25" s="11">
        <f>G25-C25-D25-E25</f>
        <v>-10</v>
      </c>
      <c r="G25" s="22">
        <v>-47</v>
      </c>
      <c r="H25" s="11">
        <v>-6</v>
      </c>
      <c r="I25" s="11">
        <v>-5</v>
      </c>
      <c r="J25" s="11">
        <v>-15</v>
      </c>
      <c r="K25" s="11">
        <f>L25-H25-I25-J25</f>
        <v>-18</v>
      </c>
      <c r="L25" s="22">
        <v>-44</v>
      </c>
      <c r="M25" s="11">
        <v>-3</v>
      </c>
      <c r="N25" s="11">
        <v>-2</v>
      </c>
      <c r="O25" s="11">
        <v>-7</v>
      </c>
      <c r="P25" s="11">
        <f>Q25-M25-N25-O25</f>
        <v>-43</v>
      </c>
      <c r="Q25" s="22">
        <v>-55</v>
      </c>
      <c r="R25" s="11">
        <v>-33</v>
      </c>
      <c r="S25" s="11">
        <v>-41</v>
      </c>
      <c r="T25" s="11">
        <v>-49</v>
      </c>
      <c r="U25" s="11">
        <f>V25-R25-S25-T25</f>
        <v>-55</v>
      </c>
      <c r="V25" s="22">
        <v>-178</v>
      </c>
      <c r="W25" s="11">
        <v>-57</v>
      </c>
      <c r="X25" s="11">
        <v>-84</v>
      </c>
      <c r="Y25" s="11">
        <v>-30</v>
      </c>
      <c r="Z25" s="11"/>
      <c r="AA25" s="23"/>
      <c r="AF25" s="23"/>
      <c r="AK25" s="23"/>
      <c r="AL25" s="23"/>
      <c r="AM25" s="23"/>
      <c r="AN25" s="23"/>
      <c r="AO25" s="23"/>
    </row>
    <row r="26" spans="2:43" x14ac:dyDescent="0.2">
      <c r="B26" s="7" t="s">
        <v>51</v>
      </c>
      <c r="C26" s="11">
        <v>324</v>
      </c>
      <c r="D26" s="11">
        <v>346</v>
      </c>
      <c r="E26" s="11">
        <v>340</v>
      </c>
      <c r="F26" s="11">
        <f>G26-C26-D26-E26</f>
        <v>337</v>
      </c>
      <c r="G26" s="22">
        <v>1347</v>
      </c>
      <c r="H26" s="11">
        <v>339</v>
      </c>
      <c r="I26" s="11">
        <v>326</v>
      </c>
      <c r="J26" s="11">
        <v>341</v>
      </c>
      <c r="K26" s="11">
        <f>L26-H26-I26-J26</f>
        <v>341</v>
      </c>
      <c r="L26" s="22">
        <v>1347</v>
      </c>
      <c r="M26" s="11">
        <v>372</v>
      </c>
      <c r="N26" s="11">
        <v>381</v>
      </c>
      <c r="O26" s="11">
        <v>413</v>
      </c>
      <c r="P26" s="11">
        <f>Q26-M26-N26-O26</f>
        <v>451</v>
      </c>
      <c r="Q26" s="22">
        <v>1617</v>
      </c>
      <c r="R26" s="11">
        <v>474</v>
      </c>
      <c r="S26" s="11">
        <v>469</v>
      </c>
      <c r="T26" s="11">
        <v>487</v>
      </c>
      <c r="U26" s="11">
        <f>V26-R26-S26-T26</f>
        <v>513</v>
      </c>
      <c r="V26" s="22">
        <v>1943</v>
      </c>
      <c r="W26" s="11">
        <v>485</v>
      </c>
      <c r="X26" s="11">
        <v>573</v>
      </c>
      <c r="Y26" s="11">
        <v>625</v>
      </c>
      <c r="Z26" s="11"/>
      <c r="AA26" s="23"/>
      <c r="AF26" s="23"/>
      <c r="AK26" s="23"/>
      <c r="AL26" s="23"/>
      <c r="AM26" s="23"/>
      <c r="AN26" s="23"/>
      <c r="AO26" s="23"/>
    </row>
    <row r="27" spans="2:43" x14ac:dyDescent="0.2">
      <c r="B27" s="7" t="s">
        <v>52</v>
      </c>
      <c r="C27" s="10">
        <f t="shared" ref="C27:Y27" si="8">SUM(C25:C26)</f>
        <v>307</v>
      </c>
      <c r="D27" s="10">
        <f t="shared" si="8"/>
        <v>337</v>
      </c>
      <c r="E27" s="10">
        <f t="shared" si="8"/>
        <v>329</v>
      </c>
      <c r="F27" s="10">
        <f t="shared" si="8"/>
        <v>327</v>
      </c>
      <c r="G27" s="25">
        <f t="shared" si="8"/>
        <v>1300</v>
      </c>
      <c r="H27" s="10">
        <f t="shared" si="8"/>
        <v>333</v>
      </c>
      <c r="I27" s="10">
        <f t="shared" si="8"/>
        <v>321</v>
      </c>
      <c r="J27" s="10">
        <f t="shared" si="8"/>
        <v>326</v>
      </c>
      <c r="K27" s="10">
        <f t="shared" si="8"/>
        <v>323</v>
      </c>
      <c r="L27" s="25">
        <f t="shared" si="8"/>
        <v>1303</v>
      </c>
      <c r="M27" s="10">
        <f t="shared" si="8"/>
        <v>369</v>
      </c>
      <c r="N27" s="10">
        <f t="shared" si="8"/>
        <v>379</v>
      </c>
      <c r="O27" s="10">
        <f t="shared" si="8"/>
        <v>406</v>
      </c>
      <c r="P27" s="10">
        <f t="shared" si="8"/>
        <v>408</v>
      </c>
      <c r="Q27" s="25">
        <f t="shared" si="8"/>
        <v>1562</v>
      </c>
      <c r="R27" s="10">
        <f t="shared" si="8"/>
        <v>441</v>
      </c>
      <c r="S27" s="10">
        <f t="shared" si="8"/>
        <v>428</v>
      </c>
      <c r="T27" s="10">
        <f t="shared" si="8"/>
        <v>438</v>
      </c>
      <c r="U27" s="10">
        <f t="shared" si="8"/>
        <v>458</v>
      </c>
      <c r="V27" s="25">
        <f t="shared" si="8"/>
        <v>1765</v>
      </c>
      <c r="W27" s="10">
        <f t="shared" si="8"/>
        <v>428</v>
      </c>
      <c r="X27" s="10">
        <f t="shared" si="8"/>
        <v>489</v>
      </c>
      <c r="Y27" s="10">
        <f t="shared" si="8"/>
        <v>595</v>
      </c>
      <c r="AA27" s="23"/>
      <c r="AF27" s="23"/>
      <c r="AK27" s="23"/>
      <c r="AL27" s="23"/>
      <c r="AM27" s="23"/>
      <c r="AN27" s="23"/>
      <c r="AO27" s="23"/>
    </row>
    <row r="28" spans="2:43" x14ac:dyDescent="0.2">
      <c r="B28" s="16" t="s">
        <v>53</v>
      </c>
      <c r="C28" s="20">
        <f t="shared" ref="C28:Y28" si="9">C23-C27</f>
        <v>2969</v>
      </c>
      <c r="D28" s="20">
        <f t="shared" si="9"/>
        <v>5730</v>
      </c>
      <c r="E28" s="20">
        <f t="shared" si="9"/>
        <v>4523</v>
      </c>
      <c r="F28" s="20">
        <f t="shared" si="9"/>
        <v>3756</v>
      </c>
      <c r="G28" s="20">
        <f t="shared" si="9"/>
        <v>16978</v>
      </c>
      <c r="H28" s="20">
        <f t="shared" si="9"/>
        <v>5448</v>
      </c>
      <c r="I28" s="20">
        <f t="shared" si="9"/>
        <v>6318</v>
      </c>
      <c r="J28" s="20">
        <f t="shared" si="9"/>
        <v>5469</v>
      </c>
      <c r="K28" s="20">
        <f t="shared" si="9"/>
        <v>4502</v>
      </c>
      <c r="L28" s="20">
        <f t="shared" si="9"/>
        <v>21737</v>
      </c>
      <c r="M28" s="20">
        <f t="shared" si="9"/>
        <v>5560</v>
      </c>
      <c r="N28" s="20">
        <f t="shared" si="9"/>
        <v>6831</v>
      </c>
      <c r="O28" s="20">
        <f t="shared" si="9"/>
        <v>5742</v>
      </c>
      <c r="P28" s="20">
        <f t="shared" si="9"/>
        <v>4344</v>
      </c>
      <c r="Q28" s="20">
        <f t="shared" si="9"/>
        <v>22477</v>
      </c>
      <c r="R28" s="20">
        <f t="shared" si="9"/>
        <v>5110</v>
      </c>
      <c r="S28" s="20">
        <f t="shared" si="9"/>
        <v>6161</v>
      </c>
      <c r="T28" s="20">
        <f t="shared" si="9"/>
        <v>4968</v>
      </c>
      <c r="U28" s="20">
        <f t="shared" si="9"/>
        <v>3685</v>
      </c>
      <c r="V28" s="20">
        <f t="shared" si="9"/>
        <v>19924</v>
      </c>
      <c r="W28" s="20">
        <f t="shared" si="9"/>
        <v>4651</v>
      </c>
      <c r="X28" s="20">
        <f t="shared" si="9"/>
        <v>6045</v>
      </c>
      <c r="Y28" s="20">
        <f t="shared" si="9"/>
        <v>4823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</row>
    <row r="29" spans="2:43" x14ac:dyDescent="0.2">
      <c r="B29" s="7" t="s">
        <v>57</v>
      </c>
      <c r="C29" s="11">
        <v>724</v>
      </c>
      <c r="D29" s="11">
        <v>1398</v>
      </c>
      <c r="E29" s="11">
        <v>1091</v>
      </c>
      <c r="F29" s="11">
        <f>G29-C29-D29-E29</f>
        <v>899</v>
      </c>
      <c r="G29" s="22">
        <v>4112</v>
      </c>
      <c r="H29" s="11">
        <v>1303</v>
      </c>
      <c r="I29" s="11">
        <v>1511</v>
      </c>
      <c r="J29" s="11">
        <v>1340</v>
      </c>
      <c r="K29" s="11">
        <f>L29-H29-I29-J29</f>
        <v>1150</v>
      </c>
      <c r="L29" s="22">
        <v>5304</v>
      </c>
      <c r="M29" s="11">
        <v>1329</v>
      </c>
      <c r="N29" s="11">
        <v>1658</v>
      </c>
      <c r="O29" s="11">
        <v>1403</v>
      </c>
      <c r="P29" s="11">
        <f>Q29-M29-N29-O29</f>
        <v>982</v>
      </c>
      <c r="Q29" s="22">
        <v>5372</v>
      </c>
      <c r="R29" s="11">
        <v>1237</v>
      </c>
      <c r="S29" s="11">
        <v>1502</v>
      </c>
      <c r="T29" s="11">
        <v>1158</v>
      </c>
      <c r="U29" s="11">
        <f>V29-R29-S29-T29</f>
        <v>884</v>
      </c>
      <c r="V29" s="22">
        <v>4781</v>
      </c>
      <c r="W29" s="11">
        <v>1051</v>
      </c>
      <c r="X29" s="11">
        <v>1484</v>
      </c>
      <c r="Y29" s="11">
        <v>1175</v>
      </c>
      <c r="Z29" s="11"/>
      <c r="AA29" s="23"/>
      <c r="AF29" s="23"/>
      <c r="AK29" s="23"/>
      <c r="AL29" s="23"/>
      <c r="AM29" s="23"/>
      <c r="AN29" s="23"/>
      <c r="AO29" s="23"/>
    </row>
    <row r="30" spans="2:43" x14ac:dyDescent="0.2">
      <c r="B30" s="7" t="s">
        <v>56</v>
      </c>
      <c r="C30" s="12">
        <f t="shared" ref="C30:Y30" si="10">C29/C28</f>
        <v>0.24385314920848772</v>
      </c>
      <c r="D30" s="12">
        <f t="shared" si="10"/>
        <v>0.24397905759162303</v>
      </c>
      <c r="E30" s="12">
        <f t="shared" si="10"/>
        <v>0.24121158523104133</v>
      </c>
      <c r="F30" s="12">
        <f t="shared" si="10"/>
        <v>0.2393503727369542</v>
      </c>
      <c r="G30" s="24">
        <f t="shared" si="10"/>
        <v>0.24219578277771234</v>
      </c>
      <c r="H30" s="12">
        <f t="shared" si="10"/>
        <v>0.23917033773861968</v>
      </c>
      <c r="I30" s="12">
        <f t="shared" si="10"/>
        <v>0.23915796138018361</v>
      </c>
      <c r="J30" s="12">
        <f t="shared" si="10"/>
        <v>0.24501737063448528</v>
      </c>
      <c r="K30" s="12">
        <f t="shared" si="10"/>
        <v>0.25544202576632608</v>
      </c>
      <c r="L30" s="24">
        <f t="shared" si="10"/>
        <v>0.244007912775452</v>
      </c>
      <c r="M30" s="12">
        <f t="shared" si="10"/>
        <v>0.23902877697841726</v>
      </c>
      <c r="N30" s="12">
        <f t="shared" si="10"/>
        <v>0.24271702532572098</v>
      </c>
      <c r="O30" s="12">
        <f t="shared" si="10"/>
        <v>0.24433995123650296</v>
      </c>
      <c r="P30" s="12">
        <f t="shared" si="10"/>
        <v>0.22605893186003684</v>
      </c>
      <c r="Q30" s="24">
        <f t="shared" si="10"/>
        <v>0.23899986653023089</v>
      </c>
      <c r="R30" s="12">
        <f t="shared" si="10"/>
        <v>0.24207436399217222</v>
      </c>
      <c r="S30" s="12">
        <f t="shared" si="10"/>
        <v>0.24379159227398151</v>
      </c>
      <c r="T30" s="12">
        <f t="shared" si="10"/>
        <v>0.23309178743961353</v>
      </c>
      <c r="U30" s="12">
        <f t="shared" si="10"/>
        <v>0.23989145183175034</v>
      </c>
      <c r="V30" s="24">
        <f t="shared" si="10"/>
        <v>0.23996185504918691</v>
      </c>
      <c r="W30" s="12">
        <f t="shared" si="10"/>
        <v>0.2259729090518168</v>
      </c>
      <c r="X30" s="12">
        <f t="shared" si="10"/>
        <v>0.24549214226633581</v>
      </c>
      <c r="Y30" s="12">
        <f t="shared" si="10"/>
        <v>0.24362430022807383</v>
      </c>
      <c r="AA30" s="23"/>
      <c r="AF30" s="23"/>
      <c r="AK30" s="23"/>
      <c r="AL30" s="23"/>
      <c r="AM30" s="23"/>
      <c r="AN30" s="23"/>
      <c r="AO30" s="23"/>
    </row>
    <row r="31" spans="2:43" x14ac:dyDescent="0.2">
      <c r="B31" s="16" t="s">
        <v>58</v>
      </c>
      <c r="C31" s="21">
        <f t="shared" ref="C31:Y31" si="11">C28-C29</f>
        <v>2245</v>
      </c>
      <c r="D31" s="21">
        <f t="shared" si="11"/>
        <v>4332</v>
      </c>
      <c r="E31" s="21">
        <f t="shared" si="11"/>
        <v>3432</v>
      </c>
      <c r="F31" s="21">
        <f t="shared" si="11"/>
        <v>2857</v>
      </c>
      <c r="G31" s="21">
        <f t="shared" si="11"/>
        <v>12866</v>
      </c>
      <c r="H31" s="21">
        <f t="shared" si="11"/>
        <v>4145</v>
      </c>
      <c r="I31" s="21">
        <f t="shared" si="11"/>
        <v>4807</v>
      </c>
      <c r="J31" s="21">
        <f t="shared" si="11"/>
        <v>4129</v>
      </c>
      <c r="K31" s="21">
        <f t="shared" si="11"/>
        <v>3352</v>
      </c>
      <c r="L31" s="21">
        <f t="shared" si="11"/>
        <v>16433</v>
      </c>
      <c r="M31" s="21">
        <f t="shared" si="11"/>
        <v>4231</v>
      </c>
      <c r="N31" s="21">
        <f t="shared" si="11"/>
        <v>5173</v>
      </c>
      <c r="O31" s="21">
        <f t="shared" si="11"/>
        <v>4339</v>
      </c>
      <c r="P31" s="21">
        <f t="shared" si="11"/>
        <v>3362</v>
      </c>
      <c r="Q31" s="21">
        <f t="shared" si="11"/>
        <v>17105</v>
      </c>
      <c r="R31" s="21">
        <f t="shared" si="11"/>
        <v>3873</v>
      </c>
      <c r="S31" s="21">
        <f t="shared" si="11"/>
        <v>4659</v>
      </c>
      <c r="T31" s="21">
        <f t="shared" si="11"/>
        <v>3810</v>
      </c>
      <c r="U31" s="21">
        <f t="shared" si="11"/>
        <v>2801</v>
      </c>
      <c r="V31" s="21">
        <f t="shared" si="11"/>
        <v>15143</v>
      </c>
      <c r="W31" s="21">
        <f t="shared" si="11"/>
        <v>3600</v>
      </c>
      <c r="X31" s="21">
        <f t="shared" si="11"/>
        <v>4561</v>
      </c>
      <c r="Y31" s="21">
        <f t="shared" si="11"/>
        <v>3648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</row>
    <row r="32" spans="2:43" x14ac:dyDescent="0.2">
      <c r="B32" s="2" t="s">
        <v>64</v>
      </c>
      <c r="G32" s="23"/>
      <c r="K32" s="10"/>
      <c r="L32" s="23"/>
      <c r="O32" s="10"/>
      <c r="Q32" s="25"/>
      <c r="U32" s="10"/>
      <c r="V32" s="23"/>
      <c r="AA32" s="23"/>
      <c r="AF32" s="23"/>
      <c r="AK32" s="23"/>
      <c r="AL32" s="23"/>
      <c r="AM32" s="23"/>
      <c r="AN32" s="23"/>
      <c r="AO32" s="23"/>
    </row>
    <row r="33" spans="2:41" x14ac:dyDescent="0.2">
      <c r="B33" s="7" t="s">
        <v>61</v>
      </c>
      <c r="C33" s="13">
        <v>2.09</v>
      </c>
      <c r="D33" s="13">
        <v>4.04</v>
      </c>
      <c r="E33" s="13">
        <v>3.2</v>
      </c>
      <c r="F33" s="13">
        <f>G33-C33-D33-E33</f>
        <v>2.6500000000000004</v>
      </c>
      <c r="G33" s="26">
        <v>11.98</v>
      </c>
      <c r="H33" s="13">
        <v>3.87</v>
      </c>
      <c r="I33" s="13">
        <v>4.54</v>
      </c>
      <c r="J33" s="13">
        <v>3.94</v>
      </c>
      <c r="K33" s="13">
        <f>L33-H33-I33-J33</f>
        <v>3.2399999999999989</v>
      </c>
      <c r="L33" s="26">
        <v>15.59</v>
      </c>
      <c r="M33" s="13">
        <v>4.1100000000000003</v>
      </c>
      <c r="N33" s="13">
        <v>5.0599999999999996</v>
      </c>
      <c r="O33" s="13">
        <v>4.25</v>
      </c>
      <c r="P33" s="13">
        <f>Q33-M33-N33-O33</f>
        <v>3.3199999999999994</v>
      </c>
      <c r="Q33" s="26">
        <v>16.739999999999998</v>
      </c>
      <c r="R33" s="13">
        <v>3.83</v>
      </c>
      <c r="S33" s="13">
        <v>4.66</v>
      </c>
      <c r="T33" s="13">
        <v>3.83</v>
      </c>
      <c r="U33" s="13">
        <f>V33-R33-S33-T33</f>
        <v>2.84</v>
      </c>
      <c r="V33" s="26">
        <v>15.16</v>
      </c>
      <c r="W33" s="13">
        <v>3.64</v>
      </c>
      <c r="X33" s="13">
        <v>4.6100000000000003</v>
      </c>
      <c r="Y33" s="13">
        <v>3.68</v>
      </c>
      <c r="Z33" s="13"/>
      <c r="AA33" s="23"/>
      <c r="AF33" s="23"/>
      <c r="AK33" s="23"/>
      <c r="AL33" s="23"/>
      <c r="AM33" s="23"/>
      <c r="AN33" s="23"/>
      <c r="AO33" s="23"/>
    </row>
    <row r="34" spans="2:41" x14ac:dyDescent="0.2">
      <c r="B34" s="7" t="s">
        <v>62</v>
      </c>
      <c r="C34" s="13">
        <v>2.08</v>
      </c>
      <c r="D34" s="13">
        <v>4.0199999999999996</v>
      </c>
      <c r="E34" s="13">
        <v>3.18</v>
      </c>
      <c r="F34" s="13">
        <f>G34-C34-D34-E34</f>
        <v>2.6599999999999997</v>
      </c>
      <c r="G34" s="26">
        <v>11.94</v>
      </c>
      <c r="H34" s="13">
        <v>3.86</v>
      </c>
      <c r="I34" s="13">
        <v>4.53</v>
      </c>
      <c r="J34" s="13">
        <v>3.92</v>
      </c>
      <c r="K34" s="13">
        <f>L34-H34-I34-J34</f>
        <v>3.2199999999999998</v>
      </c>
      <c r="L34" s="26">
        <v>15.53</v>
      </c>
      <c r="M34" s="13">
        <v>4.09</v>
      </c>
      <c r="N34" s="13">
        <v>5.05</v>
      </c>
      <c r="O34" s="13">
        <v>4.24</v>
      </c>
      <c r="P34" s="13">
        <f>Q34-M34-N34-O34</f>
        <v>3.3100000000000014</v>
      </c>
      <c r="Q34" s="26">
        <v>16.690000000000001</v>
      </c>
      <c r="R34" s="13">
        <v>3.82</v>
      </c>
      <c r="S34" s="13">
        <v>4.6500000000000004</v>
      </c>
      <c r="T34" s="13">
        <v>3.81</v>
      </c>
      <c r="U34" s="13">
        <f>V34-R34-S34-T34</f>
        <v>2.8299999999999987</v>
      </c>
      <c r="V34" s="26">
        <v>15.11</v>
      </c>
      <c r="W34" s="13">
        <v>3.63</v>
      </c>
      <c r="X34" s="13">
        <v>4.5999999999999996</v>
      </c>
      <c r="Y34" s="13">
        <v>3.67</v>
      </c>
      <c r="Z34" s="13"/>
      <c r="AA34" s="23"/>
      <c r="AF34" s="23"/>
      <c r="AK34" s="23"/>
      <c r="AL34" s="23"/>
      <c r="AM34" s="23"/>
      <c r="AN34" s="23"/>
      <c r="AO34" s="23"/>
    </row>
    <row r="35" spans="2:41" x14ac:dyDescent="0.2">
      <c r="B35" s="2" t="s">
        <v>65</v>
      </c>
      <c r="G35" s="23"/>
      <c r="L35" s="26"/>
      <c r="Q35" s="23"/>
      <c r="U35" s="38"/>
      <c r="V35" s="23"/>
      <c r="AA35" s="23"/>
      <c r="AF35" s="23"/>
      <c r="AK35" s="23"/>
      <c r="AL35" s="23"/>
      <c r="AM35" s="23"/>
      <c r="AN35" s="23"/>
      <c r="AO35" s="23"/>
    </row>
    <row r="36" spans="2:41" x14ac:dyDescent="0.2">
      <c r="B36" s="7" t="s">
        <v>59</v>
      </c>
      <c r="C36" s="11">
        <v>1073</v>
      </c>
      <c r="D36" s="11">
        <v>1073</v>
      </c>
      <c r="E36" s="11">
        <v>1073</v>
      </c>
      <c r="F36" s="11">
        <v>1074</v>
      </c>
      <c r="G36" s="22">
        <v>1074</v>
      </c>
      <c r="H36" s="11">
        <v>1071</v>
      </c>
      <c r="I36" s="11">
        <v>1058</v>
      </c>
      <c r="J36" s="11">
        <v>1049</v>
      </c>
      <c r="K36" s="11">
        <v>1054</v>
      </c>
      <c r="L36" s="22">
        <v>1054</v>
      </c>
      <c r="M36" s="11">
        <v>1030</v>
      </c>
      <c r="N36" s="11">
        <v>1023</v>
      </c>
      <c r="O36" s="11">
        <v>1020</v>
      </c>
      <c r="P36" s="11">
        <v>1022</v>
      </c>
      <c r="Q36" s="22">
        <v>1022</v>
      </c>
      <c r="R36" s="11">
        <v>1010</v>
      </c>
      <c r="S36" s="11">
        <v>1000</v>
      </c>
      <c r="T36" s="11">
        <v>996</v>
      </c>
      <c r="U36" s="11">
        <v>999</v>
      </c>
      <c r="V36" s="22">
        <v>999</v>
      </c>
      <c r="W36" s="11">
        <v>989</v>
      </c>
      <c r="X36" s="11">
        <v>990</v>
      </c>
      <c r="Y36" s="11">
        <v>991</v>
      </c>
      <c r="Z36" s="11"/>
      <c r="AA36" s="23"/>
      <c r="AF36" s="23"/>
      <c r="AK36" s="23"/>
      <c r="AL36" s="23"/>
      <c r="AM36" s="23"/>
      <c r="AN36" s="23"/>
      <c r="AO36" s="23"/>
    </row>
    <row r="37" spans="2:41" x14ac:dyDescent="0.2">
      <c r="B37" s="7" t="s">
        <v>60</v>
      </c>
      <c r="C37" s="11">
        <v>1077</v>
      </c>
      <c r="D37" s="11">
        <v>1077</v>
      </c>
      <c r="E37" s="11">
        <v>1078</v>
      </c>
      <c r="F37" s="11">
        <v>1078</v>
      </c>
      <c r="G37" s="22">
        <v>1078</v>
      </c>
      <c r="H37" s="11">
        <v>1075</v>
      </c>
      <c r="I37" s="11">
        <v>1062</v>
      </c>
      <c r="J37" s="11">
        <v>1053</v>
      </c>
      <c r="K37" s="11">
        <v>1058</v>
      </c>
      <c r="L37" s="22">
        <v>1058</v>
      </c>
      <c r="M37" s="11">
        <v>1034</v>
      </c>
      <c r="N37" s="11">
        <v>1025</v>
      </c>
      <c r="O37" s="11">
        <v>1023</v>
      </c>
      <c r="P37" s="11">
        <v>1025</v>
      </c>
      <c r="Q37" s="22">
        <v>1025</v>
      </c>
      <c r="R37" s="11">
        <v>1013</v>
      </c>
      <c r="S37" s="11">
        <v>1003</v>
      </c>
      <c r="T37" s="11">
        <v>999</v>
      </c>
      <c r="U37" s="11">
        <v>1002</v>
      </c>
      <c r="V37" s="22">
        <v>1002</v>
      </c>
      <c r="W37" s="11">
        <v>992</v>
      </c>
      <c r="X37" s="11">
        <v>992</v>
      </c>
      <c r="Y37" s="11">
        <v>993</v>
      </c>
      <c r="Z37" s="11"/>
      <c r="AA37" s="23"/>
      <c r="AF37" s="23"/>
      <c r="AK37" s="23"/>
      <c r="AL37" s="23"/>
      <c r="AM37" s="23"/>
      <c r="AN37" s="23"/>
      <c r="AO37" s="23"/>
    </row>
    <row r="40" spans="2:41" x14ac:dyDescent="0.2">
      <c r="C40" s="10"/>
    </row>
    <row r="42" spans="2:41" x14ac:dyDescent="0.2">
      <c r="B42" s="5" t="s">
        <v>67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</row>
    <row r="43" spans="2:41" x14ac:dyDescent="0.2">
      <c r="B43" s="16" t="s">
        <v>69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</row>
    <row r="44" spans="2:41" x14ac:dyDescent="0.2">
      <c r="B44" s="2" t="s">
        <v>70</v>
      </c>
      <c r="C44" s="11">
        <v>8696</v>
      </c>
      <c r="D44" s="11">
        <v>14139</v>
      </c>
      <c r="E44" s="11">
        <v>14652</v>
      </c>
      <c r="F44" s="11">
        <v>7895</v>
      </c>
      <c r="G44" s="22">
        <v>7895</v>
      </c>
      <c r="H44" s="11">
        <v>6648</v>
      </c>
      <c r="I44" s="11">
        <v>4566</v>
      </c>
      <c r="J44" s="11">
        <v>5067</v>
      </c>
      <c r="K44" s="11">
        <v>2343</v>
      </c>
      <c r="L44" s="22">
        <v>2343</v>
      </c>
      <c r="M44" s="11">
        <v>2844</v>
      </c>
      <c r="N44" s="11">
        <v>1259</v>
      </c>
      <c r="O44" s="11">
        <v>2462</v>
      </c>
      <c r="P44" s="11">
        <v>2757</v>
      </c>
      <c r="Q44" s="22">
        <v>2757</v>
      </c>
      <c r="R44" s="11">
        <v>1260</v>
      </c>
      <c r="S44" s="11">
        <v>2814</v>
      </c>
      <c r="T44" s="11">
        <v>2058</v>
      </c>
      <c r="U44" s="11">
        <v>3760</v>
      </c>
      <c r="V44" s="22">
        <v>3760</v>
      </c>
      <c r="W44" s="11">
        <v>4264</v>
      </c>
      <c r="X44" s="11">
        <v>1613</v>
      </c>
      <c r="Y44" s="11">
        <v>1531</v>
      </c>
      <c r="Z44" s="11"/>
      <c r="AA44" s="23"/>
      <c r="AF44" s="23"/>
      <c r="AK44" s="23"/>
      <c r="AL44" s="23"/>
      <c r="AM44" s="23"/>
      <c r="AN44" s="23"/>
      <c r="AO44" s="23"/>
    </row>
    <row r="45" spans="2:41" x14ac:dyDescent="0.2">
      <c r="B45" s="2" t="s">
        <v>71</v>
      </c>
      <c r="C45" s="11">
        <v>2610</v>
      </c>
      <c r="D45" s="11">
        <v>2562</v>
      </c>
      <c r="E45" s="11">
        <v>2666</v>
      </c>
      <c r="F45" s="11">
        <v>2992</v>
      </c>
      <c r="G45" s="22">
        <v>2992</v>
      </c>
      <c r="H45" s="11">
        <v>3624</v>
      </c>
      <c r="I45" s="11">
        <v>3322</v>
      </c>
      <c r="J45" s="11">
        <v>3533</v>
      </c>
      <c r="K45" s="11">
        <v>3426</v>
      </c>
      <c r="L45" s="22">
        <v>3426</v>
      </c>
      <c r="M45" s="11">
        <v>3936</v>
      </c>
      <c r="N45" s="11">
        <v>3725</v>
      </c>
      <c r="O45" s="11">
        <v>3732</v>
      </c>
      <c r="P45" s="11">
        <v>3317</v>
      </c>
      <c r="Q45" s="22">
        <v>3317</v>
      </c>
      <c r="R45" s="11">
        <v>4213</v>
      </c>
      <c r="S45" s="11">
        <v>3836</v>
      </c>
      <c r="T45" s="11">
        <v>3932</v>
      </c>
      <c r="U45" s="11">
        <v>3328</v>
      </c>
      <c r="V45" s="22">
        <v>3328</v>
      </c>
      <c r="W45" s="11">
        <v>4105</v>
      </c>
      <c r="X45" s="11">
        <v>5503</v>
      </c>
      <c r="Y45" s="11">
        <v>5782</v>
      </c>
      <c r="Z45" s="11"/>
      <c r="AA45" s="23"/>
      <c r="AF45" s="23"/>
      <c r="AK45" s="23"/>
      <c r="AL45" s="23"/>
      <c r="AM45" s="23"/>
      <c r="AN45" s="23"/>
      <c r="AO45" s="23"/>
    </row>
    <row r="46" spans="2:41" x14ac:dyDescent="0.2">
      <c r="B46" s="2" t="s">
        <v>72</v>
      </c>
      <c r="C46" s="11">
        <v>14989</v>
      </c>
      <c r="D46" s="11">
        <v>13498</v>
      </c>
      <c r="E46" s="11">
        <v>16155</v>
      </c>
      <c r="F46" s="11">
        <v>16627</v>
      </c>
      <c r="G46" s="22">
        <v>16627</v>
      </c>
      <c r="H46" s="11">
        <v>19178</v>
      </c>
      <c r="I46" s="11">
        <v>18909</v>
      </c>
      <c r="J46" s="11">
        <v>20582</v>
      </c>
      <c r="K46" s="11">
        <v>22068</v>
      </c>
      <c r="L46" s="22">
        <v>22068</v>
      </c>
      <c r="M46" s="11">
        <v>25297</v>
      </c>
      <c r="N46" s="11">
        <v>26088</v>
      </c>
      <c r="O46" s="11">
        <v>25719</v>
      </c>
      <c r="P46" s="11">
        <v>24886</v>
      </c>
      <c r="Q46" s="22">
        <v>24886</v>
      </c>
      <c r="R46" s="11">
        <v>25371</v>
      </c>
      <c r="S46" s="11">
        <v>23265</v>
      </c>
      <c r="T46" s="11">
        <v>22805</v>
      </c>
      <c r="U46" s="11">
        <v>20976</v>
      </c>
      <c r="V46" s="22">
        <v>20976</v>
      </c>
      <c r="W46" s="11">
        <v>22416</v>
      </c>
      <c r="X46" s="11">
        <v>23060</v>
      </c>
      <c r="Y46" s="11">
        <v>23897</v>
      </c>
      <c r="Z46" s="11"/>
      <c r="AA46" s="23"/>
      <c r="AF46" s="23"/>
      <c r="AK46" s="23"/>
      <c r="AL46" s="23"/>
      <c r="AM46" s="23"/>
      <c r="AN46" s="23"/>
      <c r="AO46" s="23"/>
    </row>
    <row r="47" spans="2:41" x14ac:dyDescent="0.2">
      <c r="B47" s="2" t="s">
        <v>73</v>
      </c>
      <c r="C47" s="11">
        <v>982</v>
      </c>
      <c r="D47" s="11">
        <v>1162</v>
      </c>
      <c r="E47" s="11">
        <v>1032</v>
      </c>
      <c r="F47" s="11">
        <v>963</v>
      </c>
      <c r="G47" s="22">
        <v>963</v>
      </c>
      <c r="H47" s="11">
        <v>1222</v>
      </c>
      <c r="I47" s="11">
        <v>1465</v>
      </c>
      <c r="J47" s="11">
        <v>1284</v>
      </c>
      <c r="K47" s="11">
        <v>1218</v>
      </c>
      <c r="L47" s="22">
        <v>1218</v>
      </c>
      <c r="M47" s="11">
        <v>1790</v>
      </c>
      <c r="N47" s="11">
        <v>1869</v>
      </c>
      <c r="O47" s="11">
        <v>1768</v>
      </c>
      <c r="P47" s="11">
        <v>1511</v>
      </c>
      <c r="Q47" s="22">
        <v>1511</v>
      </c>
      <c r="R47" s="11">
        <v>1579</v>
      </c>
      <c r="S47" s="11">
        <v>1915</v>
      </c>
      <c r="T47" s="11">
        <v>1887</v>
      </c>
      <c r="U47" s="11">
        <v>1711</v>
      </c>
      <c r="V47" s="22">
        <v>1711</v>
      </c>
      <c r="W47" s="11">
        <v>1837</v>
      </c>
      <c r="X47" s="11">
        <v>2097</v>
      </c>
      <c r="Y47" s="11">
        <v>1739</v>
      </c>
      <c r="Z47" s="11"/>
      <c r="AA47" s="23"/>
      <c r="AF47" s="23"/>
      <c r="AK47" s="23"/>
      <c r="AL47" s="23"/>
      <c r="AM47" s="23"/>
      <c r="AN47" s="23"/>
      <c r="AO47" s="23"/>
    </row>
    <row r="48" spans="2:41" x14ac:dyDescent="0.2">
      <c r="B48" s="19" t="s">
        <v>74</v>
      </c>
      <c r="C48" s="20">
        <f t="shared" ref="C48:Y48" si="12">SUM(C44:C47)</f>
        <v>27277</v>
      </c>
      <c r="D48" s="20">
        <f t="shared" si="12"/>
        <v>31361</v>
      </c>
      <c r="E48" s="20">
        <f t="shared" si="12"/>
        <v>34505</v>
      </c>
      <c r="F48" s="20">
        <f t="shared" si="12"/>
        <v>28477</v>
      </c>
      <c r="G48" s="20">
        <f t="shared" si="12"/>
        <v>28477</v>
      </c>
      <c r="H48" s="20">
        <f t="shared" si="12"/>
        <v>30672</v>
      </c>
      <c r="I48" s="20">
        <f t="shared" si="12"/>
        <v>28262</v>
      </c>
      <c r="J48" s="20">
        <f t="shared" si="12"/>
        <v>30466</v>
      </c>
      <c r="K48" s="20">
        <f t="shared" si="12"/>
        <v>29055</v>
      </c>
      <c r="L48" s="20">
        <f t="shared" si="12"/>
        <v>29055</v>
      </c>
      <c r="M48" s="20">
        <f t="shared" si="12"/>
        <v>33867</v>
      </c>
      <c r="N48" s="20">
        <f t="shared" si="12"/>
        <v>32941</v>
      </c>
      <c r="O48" s="20">
        <f t="shared" si="12"/>
        <v>33681</v>
      </c>
      <c r="P48" s="20">
        <f t="shared" si="12"/>
        <v>32471</v>
      </c>
      <c r="Q48" s="20">
        <f t="shared" si="12"/>
        <v>32471</v>
      </c>
      <c r="R48" s="20">
        <f t="shared" si="12"/>
        <v>32423</v>
      </c>
      <c r="S48" s="20">
        <f t="shared" si="12"/>
        <v>31830</v>
      </c>
      <c r="T48" s="20">
        <f t="shared" si="12"/>
        <v>30682</v>
      </c>
      <c r="U48" s="20">
        <f t="shared" si="12"/>
        <v>29775</v>
      </c>
      <c r="V48" s="20">
        <f t="shared" si="12"/>
        <v>29775</v>
      </c>
      <c r="W48" s="20">
        <f t="shared" si="12"/>
        <v>32622</v>
      </c>
      <c r="X48" s="20">
        <f t="shared" si="12"/>
        <v>32273</v>
      </c>
      <c r="Y48" s="20">
        <f t="shared" si="12"/>
        <v>32949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</row>
    <row r="50" spans="2:41" x14ac:dyDescent="0.2">
      <c r="B50" s="2" t="s">
        <v>75</v>
      </c>
      <c r="C50" s="11">
        <v>22697</v>
      </c>
      <c r="D50" s="11">
        <v>23387</v>
      </c>
      <c r="E50" s="11">
        <v>23848</v>
      </c>
      <c r="F50" s="11">
        <v>24705</v>
      </c>
      <c r="G50" s="22">
        <v>24705</v>
      </c>
      <c r="H50" s="11">
        <v>24673</v>
      </c>
      <c r="I50" s="11">
        <v>24750</v>
      </c>
      <c r="J50" s="11">
        <v>24935</v>
      </c>
      <c r="K50" s="11">
        <v>25199</v>
      </c>
      <c r="L50" s="22">
        <v>25199</v>
      </c>
      <c r="M50" s="11">
        <v>25166</v>
      </c>
      <c r="N50" s="11">
        <v>25247</v>
      </c>
      <c r="O50" s="11">
        <v>25240</v>
      </c>
      <c r="P50" s="11">
        <v>25631</v>
      </c>
      <c r="Q50" s="22">
        <v>25631</v>
      </c>
      <c r="R50" s="11">
        <v>25674</v>
      </c>
      <c r="S50" s="11">
        <v>25879</v>
      </c>
      <c r="T50" s="11">
        <v>25735</v>
      </c>
      <c r="U50" s="11">
        <v>26154</v>
      </c>
      <c r="V50" s="22">
        <v>26154</v>
      </c>
      <c r="W50" s="11">
        <v>25997</v>
      </c>
      <c r="X50" s="11">
        <v>26640</v>
      </c>
      <c r="Y50" s="11">
        <v>26573</v>
      </c>
      <c r="Z50" s="11"/>
      <c r="AA50" s="23"/>
      <c r="AF50" s="23"/>
      <c r="AK50" s="23"/>
      <c r="AL50" s="23"/>
      <c r="AM50" s="23"/>
      <c r="AN50" s="23"/>
      <c r="AO50" s="23"/>
    </row>
    <row r="51" spans="2:41" x14ac:dyDescent="0.2">
      <c r="B51" s="2" t="s">
        <v>76</v>
      </c>
      <c r="C51" s="11">
        <v>5634</v>
      </c>
      <c r="D51" s="11">
        <v>5436</v>
      </c>
      <c r="E51" s="11">
        <v>5433</v>
      </c>
      <c r="F51" s="11">
        <v>5962</v>
      </c>
      <c r="G51" s="22">
        <v>5962</v>
      </c>
      <c r="H51" s="11">
        <v>5864</v>
      </c>
      <c r="I51" s="11">
        <v>5960</v>
      </c>
      <c r="J51" s="11">
        <v>5903</v>
      </c>
      <c r="K51" s="11">
        <v>5968</v>
      </c>
      <c r="L51" s="22">
        <v>5968</v>
      </c>
      <c r="M51" s="11">
        <v>5980</v>
      </c>
      <c r="N51" s="11">
        <v>6132</v>
      </c>
      <c r="O51" s="11">
        <v>6523</v>
      </c>
      <c r="P51" s="11">
        <v>6941</v>
      </c>
      <c r="Q51" s="22">
        <v>6941</v>
      </c>
      <c r="R51" s="11">
        <v>6931</v>
      </c>
      <c r="S51" s="11">
        <v>7139</v>
      </c>
      <c r="T51" s="11">
        <v>7071</v>
      </c>
      <c r="U51" s="11">
        <v>7884</v>
      </c>
      <c r="V51" s="22">
        <v>7884</v>
      </c>
      <c r="W51" s="11">
        <v>7913</v>
      </c>
      <c r="X51" s="11">
        <v>8613</v>
      </c>
      <c r="Y51" s="11">
        <v>8521</v>
      </c>
      <c r="Z51" s="11"/>
      <c r="AA51" s="23"/>
      <c r="AF51" s="23"/>
      <c r="AK51" s="23"/>
      <c r="AL51" s="23"/>
      <c r="AM51" s="23"/>
      <c r="AN51" s="23"/>
      <c r="AO51" s="23"/>
    </row>
    <row r="52" spans="2:41" x14ac:dyDescent="0.2">
      <c r="B52" s="2" t="s">
        <v>77</v>
      </c>
      <c r="C52" s="11">
        <v>2220</v>
      </c>
      <c r="D52" s="11">
        <v>2233</v>
      </c>
      <c r="E52" s="11">
        <v>2236</v>
      </c>
      <c r="F52" s="11">
        <v>7126</v>
      </c>
      <c r="G52" s="22">
        <v>7126</v>
      </c>
      <c r="H52" s="11">
        <v>7137</v>
      </c>
      <c r="I52" s="11">
        <v>7454</v>
      </c>
      <c r="J52" s="11">
        <v>7445</v>
      </c>
      <c r="K52" s="11">
        <v>7449</v>
      </c>
      <c r="L52" s="22">
        <v>7449</v>
      </c>
      <c r="M52" s="11">
        <v>7450</v>
      </c>
      <c r="N52" s="11">
        <v>7451</v>
      </c>
      <c r="O52" s="11">
        <v>7434</v>
      </c>
      <c r="P52" s="11">
        <v>7444</v>
      </c>
      <c r="Q52" s="22">
        <v>7444</v>
      </c>
      <c r="R52" s="11">
        <v>7447</v>
      </c>
      <c r="S52" s="11">
        <v>7664</v>
      </c>
      <c r="T52" s="11">
        <v>7937</v>
      </c>
      <c r="U52" s="11">
        <v>8455</v>
      </c>
      <c r="V52" s="22">
        <v>8455</v>
      </c>
      <c r="W52" s="11">
        <v>8464</v>
      </c>
      <c r="X52" s="11">
        <v>19414</v>
      </c>
      <c r="Y52" s="11">
        <v>19428</v>
      </c>
      <c r="Z52" s="11"/>
      <c r="AA52" s="23"/>
      <c r="AF52" s="23"/>
      <c r="AK52" s="23"/>
      <c r="AL52" s="23"/>
      <c r="AM52" s="23"/>
      <c r="AN52" s="23"/>
      <c r="AO52" s="23"/>
    </row>
    <row r="53" spans="2:41" x14ac:dyDescent="0.2">
      <c r="B53" s="2" t="s">
        <v>145</v>
      </c>
      <c r="C53" s="11"/>
      <c r="D53" s="11"/>
      <c r="E53" s="11"/>
      <c r="F53" s="11"/>
      <c r="G53" s="22"/>
      <c r="H53" s="11"/>
      <c r="I53" s="11"/>
      <c r="J53" s="11"/>
      <c r="K53" s="11"/>
      <c r="L53" s="22"/>
      <c r="M53" s="11"/>
      <c r="N53" s="11"/>
      <c r="O53" s="11"/>
      <c r="P53" s="11"/>
      <c r="Q53" s="22"/>
      <c r="R53" s="11"/>
      <c r="S53" s="11"/>
      <c r="T53" s="11"/>
      <c r="U53" s="11"/>
      <c r="V53" s="22"/>
      <c r="W53" s="11"/>
      <c r="X53" s="11">
        <v>9214</v>
      </c>
      <c r="Y53" s="11">
        <v>9112</v>
      </c>
      <c r="Z53" s="11"/>
      <c r="AA53" s="23"/>
      <c r="AF53" s="23"/>
      <c r="AK53" s="23"/>
      <c r="AL53" s="23"/>
      <c r="AM53" s="23"/>
      <c r="AN53" s="23"/>
      <c r="AO53" s="23"/>
    </row>
    <row r="54" spans="2:41" x14ac:dyDescent="0.2">
      <c r="B54" s="2" t="s">
        <v>78</v>
      </c>
      <c r="C54" s="11">
        <v>909</v>
      </c>
      <c r="D54" s="11">
        <v>932</v>
      </c>
      <c r="E54" s="11">
        <v>897</v>
      </c>
      <c r="F54" s="11">
        <v>4311</v>
      </c>
      <c r="G54" s="22">
        <v>4311</v>
      </c>
      <c r="H54" s="11">
        <v>4221</v>
      </c>
      <c r="I54" s="11">
        <v>4343</v>
      </c>
      <c r="J54" s="11">
        <v>4282</v>
      </c>
      <c r="K54" s="11">
        <v>4205</v>
      </c>
      <c r="L54" s="22">
        <v>4205</v>
      </c>
      <c r="M54" s="11">
        <v>4104</v>
      </c>
      <c r="N54" s="11">
        <v>4054</v>
      </c>
      <c r="O54" s="11">
        <v>3988</v>
      </c>
      <c r="P54" s="11">
        <v>3958</v>
      </c>
      <c r="Q54" s="22">
        <v>3958</v>
      </c>
      <c r="R54" s="11">
        <v>3911</v>
      </c>
      <c r="S54" s="11">
        <v>3875</v>
      </c>
      <c r="T54" s="11">
        <v>4152</v>
      </c>
      <c r="U54" s="11">
        <v>4262</v>
      </c>
      <c r="V54" s="22">
        <v>4262</v>
      </c>
      <c r="W54" s="11">
        <v>4234</v>
      </c>
      <c r="X54" s="11">
        <v>692</v>
      </c>
      <c r="Y54" s="11">
        <v>681</v>
      </c>
      <c r="Z54" s="11"/>
      <c r="AA54" s="23"/>
      <c r="AF54" s="23"/>
      <c r="AK54" s="23"/>
      <c r="AL54" s="23"/>
      <c r="AM54" s="23"/>
      <c r="AN54" s="23"/>
      <c r="AO54" s="23"/>
    </row>
    <row r="55" spans="2:41" x14ac:dyDescent="0.2">
      <c r="B55" s="19" t="s">
        <v>80</v>
      </c>
      <c r="C55" s="20">
        <f t="shared" ref="C55:Y55" si="13">SUM(C50:C54)</f>
        <v>31460</v>
      </c>
      <c r="D55" s="20">
        <f t="shared" si="13"/>
        <v>31988</v>
      </c>
      <c r="E55" s="20">
        <f t="shared" si="13"/>
        <v>32414</v>
      </c>
      <c r="F55" s="20">
        <f t="shared" si="13"/>
        <v>42104</v>
      </c>
      <c r="G55" s="20">
        <f t="shared" si="13"/>
        <v>42104</v>
      </c>
      <c r="H55" s="20">
        <f t="shared" si="13"/>
        <v>41895</v>
      </c>
      <c r="I55" s="20">
        <f t="shared" si="13"/>
        <v>42507</v>
      </c>
      <c r="J55" s="20">
        <f t="shared" si="13"/>
        <v>42565</v>
      </c>
      <c r="K55" s="20">
        <f t="shared" si="13"/>
        <v>42821</v>
      </c>
      <c r="L55" s="20">
        <f t="shared" si="13"/>
        <v>42821</v>
      </c>
      <c r="M55" s="20">
        <f t="shared" si="13"/>
        <v>42700</v>
      </c>
      <c r="N55" s="20">
        <f t="shared" si="13"/>
        <v>42884</v>
      </c>
      <c r="O55" s="20">
        <f t="shared" si="13"/>
        <v>43185</v>
      </c>
      <c r="P55" s="20">
        <f t="shared" si="13"/>
        <v>43974</v>
      </c>
      <c r="Q55" s="20">
        <f t="shared" si="13"/>
        <v>43974</v>
      </c>
      <c r="R55" s="20">
        <f t="shared" si="13"/>
        <v>43963</v>
      </c>
      <c r="S55" s="20">
        <f t="shared" si="13"/>
        <v>44557</v>
      </c>
      <c r="T55" s="20">
        <f t="shared" si="13"/>
        <v>44895</v>
      </c>
      <c r="U55" s="20">
        <f t="shared" si="13"/>
        <v>46755</v>
      </c>
      <c r="V55" s="20">
        <f t="shared" si="13"/>
        <v>46755</v>
      </c>
      <c r="W55" s="20">
        <f t="shared" si="13"/>
        <v>46608</v>
      </c>
      <c r="X55" s="20">
        <f t="shared" si="13"/>
        <v>64573</v>
      </c>
      <c r="Y55" s="20">
        <f t="shared" si="13"/>
        <v>64315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</row>
    <row r="56" spans="2:41" x14ac:dyDescent="0.2">
      <c r="B56" s="28" t="s">
        <v>79</v>
      </c>
      <c r="C56" s="32">
        <f t="shared" ref="C56:Y56" si="14">C48+C55</f>
        <v>58737</v>
      </c>
      <c r="D56" s="32">
        <f t="shared" si="14"/>
        <v>63349</v>
      </c>
      <c r="E56" s="32">
        <f t="shared" si="14"/>
        <v>66919</v>
      </c>
      <c r="F56" s="32">
        <f t="shared" si="14"/>
        <v>70581</v>
      </c>
      <c r="G56" s="32">
        <f t="shared" si="14"/>
        <v>70581</v>
      </c>
      <c r="H56" s="32">
        <f t="shared" si="14"/>
        <v>72567</v>
      </c>
      <c r="I56" s="32">
        <f t="shared" si="14"/>
        <v>70769</v>
      </c>
      <c r="J56" s="32">
        <f t="shared" si="14"/>
        <v>73031</v>
      </c>
      <c r="K56" s="32">
        <f t="shared" si="14"/>
        <v>71876</v>
      </c>
      <c r="L56" s="32">
        <f t="shared" si="14"/>
        <v>71876</v>
      </c>
      <c r="M56" s="32">
        <f t="shared" si="14"/>
        <v>76567</v>
      </c>
      <c r="N56" s="32">
        <f t="shared" si="14"/>
        <v>75825</v>
      </c>
      <c r="O56" s="32">
        <f t="shared" si="14"/>
        <v>76866</v>
      </c>
      <c r="P56" s="32">
        <f t="shared" si="14"/>
        <v>76445</v>
      </c>
      <c r="Q56" s="32">
        <f t="shared" si="14"/>
        <v>76445</v>
      </c>
      <c r="R56" s="32">
        <f t="shared" si="14"/>
        <v>76386</v>
      </c>
      <c r="S56" s="32">
        <f t="shared" si="14"/>
        <v>76387</v>
      </c>
      <c r="T56" s="32">
        <f t="shared" si="14"/>
        <v>75577</v>
      </c>
      <c r="U56" s="32">
        <f t="shared" si="14"/>
        <v>76530</v>
      </c>
      <c r="V56" s="32">
        <f t="shared" si="14"/>
        <v>76530</v>
      </c>
      <c r="W56" s="32">
        <f t="shared" si="14"/>
        <v>79230</v>
      </c>
      <c r="X56" s="32">
        <f t="shared" si="14"/>
        <v>96846</v>
      </c>
      <c r="Y56" s="32">
        <f t="shared" si="14"/>
        <v>97264</v>
      </c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</row>
    <row r="58" spans="2:41" x14ac:dyDescent="0.2">
      <c r="B58" s="16" t="s">
        <v>81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</row>
    <row r="59" spans="2:41" x14ac:dyDescent="0.2">
      <c r="B59" s="2" t="s">
        <v>82</v>
      </c>
      <c r="C59" s="11">
        <v>0</v>
      </c>
      <c r="D59" s="11">
        <v>0</v>
      </c>
      <c r="E59" s="11">
        <v>0</v>
      </c>
      <c r="F59" s="11">
        <v>0</v>
      </c>
      <c r="G59" s="22">
        <v>0</v>
      </c>
      <c r="H59" s="11"/>
      <c r="I59" s="11"/>
      <c r="J59" s="11"/>
      <c r="K59" s="11">
        <v>1035</v>
      </c>
      <c r="L59" s="22">
        <v>1035</v>
      </c>
      <c r="M59" s="11"/>
      <c r="N59" s="11">
        <v>539</v>
      </c>
      <c r="O59" s="11"/>
      <c r="P59" s="11"/>
      <c r="Q59" s="22"/>
      <c r="V59" s="22"/>
      <c r="W59" s="11">
        <v>8</v>
      </c>
      <c r="X59" s="11">
        <v>2527</v>
      </c>
      <c r="Y59" s="11">
        <v>1344</v>
      </c>
      <c r="Z59" s="11"/>
      <c r="AA59" s="23"/>
      <c r="AF59" s="23"/>
      <c r="AK59" s="23"/>
      <c r="AL59" s="23"/>
      <c r="AM59" s="23"/>
      <c r="AN59" s="23"/>
      <c r="AO59" s="23"/>
    </row>
    <row r="60" spans="2:41" x14ac:dyDescent="0.2">
      <c r="B60" s="2" t="s">
        <v>83</v>
      </c>
      <c r="C60" s="11">
        <v>10056</v>
      </c>
      <c r="D60" s="11">
        <v>11691</v>
      </c>
      <c r="E60" s="11">
        <v>12899</v>
      </c>
      <c r="F60" s="11">
        <v>11606</v>
      </c>
      <c r="G60" s="22">
        <v>11606</v>
      </c>
      <c r="H60" s="11">
        <v>14494</v>
      </c>
      <c r="I60" s="11">
        <v>12817</v>
      </c>
      <c r="J60" s="11">
        <v>13375</v>
      </c>
      <c r="K60" s="11">
        <v>13462</v>
      </c>
      <c r="L60" s="22">
        <v>13462</v>
      </c>
      <c r="M60" s="11">
        <v>15367</v>
      </c>
      <c r="N60" s="11">
        <v>14348</v>
      </c>
      <c r="O60" s="11">
        <v>12402</v>
      </c>
      <c r="P60" s="11">
        <v>11443</v>
      </c>
      <c r="Q60" s="22">
        <v>11443</v>
      </c>
      <c r="R60" s="11">
        <v>12630</v>
      </c>
      <c r="S60" s="11">
        <v>12104</v>
      </c>
      <c r="T60" s="11">
        <v>11478</v>
      </c>
      <c r="U60" s="11">
        <v>10037</v>
      </c>
      <c r="V60" s="22">
        <v>10037</v>
      </c>
      <c r="W60" s="11">
        <v>12563</v>
      </c>
      <c r="X60" s="11">
        <v>13206</v>
      </c>
      <c r="Y60" s="11">
        <v>13506</v>
      </c>
      <c r="Z60" s="11"/>
      <c r="AA60" s="23"/>
      <c r="AF60" s="23"/>
      <c r="AK60" s="23"/>
      <c r="AL60" s="23"/>
      <c r="AM60" s="23"/>
      <c r="AN60" s="23"/>
      <c r="AO60" s="23"/>
    </row>
    <row r="61" spans="2:41" x14ac:dyDescent="0.2">
      <c r="B61" s="2" t="s">
        <v>84</v>
      </c>
      <c r="C61" s="11">
        <v>1974</v>
      </c>
      <c r="D61" s="11">
        <v>2402</v>
      </c>
      <c r="E61" s="11">
        <v>2176</v>
      </c>
      <c r="F61" s="11">
        <v>2463</v>
      </c>
      <c r="G61" s="22">
        <v>2463</v>
      </c>
      <c r="H61" s="11">
        <v>2167</v>
      </c>
      <c r="I61" s="11">
        <v>2329</v>
      </c>
      <c r="J61" s="11">
        <v>2028</v>
      </c>
      <c r="K61" s="11">
        <v>2426</v>
      </c>
      <c r="L61" s="22">
        <v>2426</v>
      </c>
      <c r="M61" s="11">
        <v>2008</v>
      </c>
      <c r="N61" s="11">
        <v>2204</v>
      </c>
      <c r="O61" s="11">
        <v>1934</v>
      </c>
      <c r="P61" s="11">
        <v>1991</v>
      </c>
      <c r="Q61" s="22">
        <v>1991</v>
      </c>
      <c r="R61" s="11">
        <v>1931</v>
      </c>
      <c r="S61" s="11">
        <v>2022</v>
      </c>
      <c r="T61" s="11">
        <v>2034</v>
      </c>
      <c r="U61" s="11">
        <v>2096</v>
      </c>
      <c r="V61" s="22">
        <v>2096</v>
      </c>
      <c r="W61" s="11">
        <v>2005</v>
      </c>
      <c r="X61" s="11">
        <v>2105</v>
      </c>
      <c r="Y61" s="11">
        <v>2094</v>
      </c>
      <c r="Z61" s="11"/>
      <c r="AA61" s="23"/>
      <c r="AF61" s="23"/>
      <c r="AK61" s="23"/>
      <c r="AL61" s="23"/>
      <c r="AM61" s="23"/>
      <c r="AN61" s="23"/>
      <c r="AO61" s="23"/>
    </row>
    <row r="62" spans="2:41" x14ac:dyDescent="0.2">
      <c r="B62" s="2" t="s">
        <v>85</v>
      </c>
      <c r="C62" s="11">
        <v>855</v>
      </c>
      <c r="D62" s="11">
        <v>907</v>
      </c>
      <c r="E62" s="11">
        <v>861</v>
      </c>
      <c r="F62" s="11">
        <v>774</v>
      </c>
      <c r="G62" s="22">
        <v>774</v>
      </c>
      <c r="H62" s="11">
        <v>1149</v>
      </c>
      <c r="I62" s="11">
        <v>1014</v>
      </c>
      <c r="J62" s="11">
        <v>968</v>
      </c>
      <c r="K62" s="11">
        <v>848</v>
      </c>
      <c r="L62" s="22">
        <v>848</v>
      </c>
      <c r="M62" s="11">
        <v>1139</v>
      </c>
      <c r="N62" s="11">
        <v>1076</v>
      </c>
      <c r="O62" s="11">
        <v>640</v>
      </c>
      <c r="P62" s="11">
        <v>528</v>
      </c>
      <c r="Q62" s="22">
        <v>528</v>
      </c>
      <c r="R62" s="11">
        <v>683</v>
      </c>
      <c r="S62" s="11">
        <v>631</v>
      </c>
      <c r="T62" s="11">
        <v>590</v>
      </c>
      <c r="U62" s="11">
        <v>449</v>
      </c>
      <c r="V62" s="22">
        <v>449</v>
      </c>
      <c r="W62" s="11">
        <v>676</v>
      </c>
      <c r="X62" s="11">
        <v>645</v>
      </c>
      <c r="Y62" s="11">
        <v>655</v>
      </c>
      <c r="Z62" s="11"/>
      <c r="AA62" s="23"/>
      <c r="AF62" s="23"/>
      <c r="AK62" s="23"/>
      <c r="AL62" s="23"/>
      <c r="AM62" s="23"/>
      <c r="AN62" s="23"/>
      <c r="AO62" s="23"/>
    </row>
    <row r="63" spans="2:41" x14ac:dyDescent="0.2">
      <c r="B63" s="2" t="s">
        <v>86</v>
      </c>
      <c r="C63" s="11">
        <v>2179</v>
      </c>
      <c r="D63" s="11">
        <v>2511</v>
      </c>
      <c r="E63" s="11">
        <v>2664</v>
      </c>
      <c r="F63" s="11">
        <v>2823</v>
      </c>
      <c r="G63" s="22">
        <v>2823</v>
      </c>
      <c r="H63" s="11">
        <v>3415</v>
      </c>
      <c r="I63" s="11">
        <v>3498</v>
      </c>
      <c r="J63" s="11">
        <v>3499</v>
      </c>
      <c r="K63" s="11">
        <v>3596</v>
      </c>
      <c r="L63" s="22">
        <v>3596</v>
      </c>
      <c r="M63" s="11">
        <v>3675</v>
      </c>
      <c r="N63" s="11">
        <v>3539</v>
      </c>
      <c r="O63" s="11">
        <v>3173</v>
      </c>
      <c r="P63" s="11">
        <v>3064</v>
      </c>
      <c r="Q63" s="22">
        <v>3064</v>
      </c>
      <c r="R63" s="11">
        <v>3119</v>
      </c>
      <c r="S63" s="11">
        <v>3079</v>
      </c>
      <c r="T63" s="11">
        <v>2784</v>
      </c>
      <c r="U63" s="11">
        <v>2762</v>
      </c>
      <c r="V63" s="22">
        <v>2762</v>
      </c>
      <c r="W63" s="11">
        <v>2841</v>
      </c>
      <c r="X63" s="11">
        <v>2754</v>
      </c>
      <c r="Y63" s="11">
        <v>2595</v>
      </c>
      <c r="Z63" s="11"/>
      <c r="AA63" s="23"/>
      <c r="AF63" s="23"/>
      <c r="AK63" s="23"/>
      <c r="AL63" s="23"/>
      <c r="AM63" s="23"/>
      <c r="AN63" s="23"/>
      <c r="AO63" s="23"/>
    </row>
    <row r="64" spans="2:41" x14ac:dyDescent="0.2">
      <c r="B64" s="2" t="s">
        <v>139</v>
      </c>
      <c r="C64" s="11"/>
      <c r="F64" s="11">
        <v>193</v>
      </c>
      <c r="G64" s="22">
        <v>193</v>
      </c>
      <c r="J64" s="11"/>
      <c r="K64" s="11">
        <v>158</v>
      </c>
      <c r="L64" s="22">
        <v>158</v>
      </c>
      <c r="N64" s="11"/>
      <c r="P64" s="11">
        <v>50</v>
      </c>
      <c r="Q64" s="22">
        <v>50</v>
      </c>
      <c r="R64" s="11">
        <v>1054</v>
      </c>
      <c r="S64" s="11">
        <v>19</v>
      </c>
      <c r="T64" s="11">
        <v>304</v>
      </c>
      <c r="U64" s="11">
        <v>28</v>
      </c>
      <c r="V64" s="22">
        <v>28</v>
      </c>
      <c r="W64" s="11">
        <v>637</v>
      </c>
      <c r="X64" s="11">
        <v>40</v>
      </c>
      <c r="Y64" s="11">
        <v>94</v>
      </c>
      <c r="Z64" s="11"/>
      <c r="AA64" s="23"/>
      <c r="AF64" s="23"/>
      <c r="AK64" s="23"/>
      <c r="AL64" s="23"/>
      <c r="AM64" s="23"/>
      <c r="AN64" s="23"/>
      <c r="AO64" s="23"/>
    </row>
    <row r="65" spans="2:41" x14ac:dyDescent="0.2">
      <c r="B65" s="2" t="s">
        <v>87</v>
      </c>
      <c r="C65" s="11">
        <v>4200</v>
      </c>
      <c r="D65" s="11">
        <v>2476</v>
      </c>
      <c r="E65" s="11">
        <v>2491</v>
      </c>
      <c r="F65" s="11">
        <v>1416</v>
      </c>
      <c r="G65" s="22">
        <v>1416</v>
      </c>
      <c r="H65" s="11">
        <v>1164</v>
      </c>
      <c r="I65" s="11">
        <v>2428</v>
      </c>
      <c r="J65" s="11">
        <v>2436</v>
      </c>
      <c r="K65" s="11">
        <v>2447</v>
      </c>
      <c r="L65" s="22">
        <v>2447</v>
      </c>
      <c r="M65" s="11">
        <v>2463</v>
      </c>
      <c r="N65" s="11">
        <v>1218</v>
      </c>
      <c r="O65" s="11">
        <v>1224</v>
      </c>
      <c r="P65" s="11">
        <v>1231</v>
      </c>
      <c r="Q65" s="22">
        <v>1231</v>
      </c>
      <c r="R65" s="11">
        <v>1338</v>
      </c>
      <c r="S65" s="11">
        <v>1352</v>
      </c>
      <c r="T65" s="11">
        <v>1362</v>
      </c>
      <c r="U65" s="11">
        <v>1368</v>
      </c>
      <c r="V65" s="22">
        <v>1368</v>
      </c>
      <c r="W65" s="11">
        <v>763</v>
      </c>
      <c r="X65" s="11">
        <v>1339</v>
      </c>
      <c r="Y65" s="11">
        <v>3176</v>
      </c>
      <c r="Z65" s="11"/>
      <c r="AA65" s="23"/>
      <c r="AF65" s="23"/>
      <c r="AK65" s="23"/>
      <c r="AL65" s="23"/>
      <c r="AM65" s="23"/>
      <c r="AN65" s="23"/>
      <c r="AO65" s="23"/>
    </row>
    <row r="66" spans="2:41" x14ac:dyDescent="0.2">
      <c r="B66" s="2" t="s">
        <v>88</v>
      </c>
      <c r="C66" s="11">
        <v>853</v>
      </c>
      <c r="D66" s="11">
        <v>831</v>
      </c>
      <c r="E66" s="11">
        <v>842</v>
      </c>
      <c r="F66" s="11">
        <v>828</v>
      </c>
      <c r="G66" s="22">
        <v>828</v>
      </c>
      <c r="H66" s="11">
        <v>803</v>
      </c>
      <c r="I66" s="11">
        <v>814</v>
      </c>
      <c r="J66" s="11">
        <v>827</v>
      </c>
      <c r="K66" s="11">
        <v>830</v>
      </c>
      <c r="L66" s="22">
        <v>830</v>
      </c>
      <c r="M66" s="11">
        <v>859</v>
      </c>
      <c r="N66" s="11">
        <v>919</v>
      </c>
      <c r="O66" s="11">
        <v>942</v>
      </c>
      <c r="P66" s="11">
        <v>945</v>
      </c>
      <c r="Q66" s="22">
        <v>945</v>
      </c>
      <c r="R66" s="11">
        <v>966</v>
      </c>
      <c r="S66" s="11">
        <v>1011</v>
      </c>
      <c r="T66" s="11">
        <v>1026</v>
      </c>
      <c r="U66" s="11">
        <v>1050</v>
      </c>
      <c r="V66" s="22">
        <v>1050</v>
      </c>
      <c r="W66" s="11">
        <v>1073</v>
      </c>
      <c r="X66" s="11">
        <v>1242</v>
      </c>
      <c r="Y66" s="11">
        <v>1262</v>
      </c>
      <c r="Z66" s="11"/>
      <c r="AA66" s="23"/>
      <c r="AF66" s="23"/>
      <c r="AK66" s="23"/>
      <c r="AL66" s="23"/>
      <c r="AM66" s="23"/>
      <c r="AN66" s="23"/>
      <c r="AO66" s="23"/>
    </row>
    <row r="67" spans="2:41" x14ac:dyDescent="0.2">
      <c r="B67" s="2" t="s">
        <v>90</v>
      </c>
      <c r="C67" s="11">
        <v>3231</v>
      </c>
      <c r="D67" s="11">
        <v>3381</v>
      </c>
      <c r="E67" s="11">
        <v>3462</v>
      </c>
      <c r="F67" s="11">
        <v>3063</v>
      </c>
      <c r="G67" s="22">
        <v>3063</v>
      </c>
      <c r="H67" s="11">
        <v>4566</v>
      </c>
      <c r="I67" s="11">
        <v>3766</v>
      </c>
      <c r="J67" s="11">
        <v>3770</v>
      </c>
      <c r="K67" s="11">
        <v>3891</v>
      </c>
      <c r="L67" s="22">
        <v>3891</v>
      </c>
      <c r="M67" s="11">
        <v>4876</v>
      </c>
      <c r="N67" s="11">
        <v>3991</v>
      </c>
      <c r="O67" s="11">
        <v>3965</v>
      </c>
      <c r="P67" s="11">
        <v>3858</v>
      </c>
      <c r="Q67" s="22">
        <v>3858</v>
      </c>
      <c r="R67" s="11">
        <v>3725</v>
      </c>
      <c r="S67" s="11">
        <v>4009</v>
      </c>
      <c r="T67" s="11">
        <v>3994</v>
      </c>
      <c r="U67" s="11">
        <v>4225</v>
      </c>
      <c r="V67" s="22">
        <v>4225</v>
      </c>
      <c r="W67" s="11">
        <v>3793</v>
      </c>
      <c r="X67" s="11">
        <v>4265</v>
      </c>
      <c r="Y67" s="11">
        <v>4366</v>
      </c>
      <c r="Z67" s="11"/>
      <c r="AA67" s="23"/>
      <c r="AF67" s="23"/>
      <c r="AK67" s="23"/>
      <c r="AL67" s="23"/>
      <c r="AM67" s="23"/>
      <c r="AN67" s="23"/>
      <c r="AO67" s="23"/>
    </row>
    <row r="68" spans="2:41" x14ac:dyDescent="0.2">
      <c r="B68" s="19" t="s">
        <v>91</v>
      </c>
      <c r="C68" s="20">
        <f t="shared" ref="C68:Y68" si="15">SUM(C59:C67)</f>
        <v>23348</v>
      </c>
      <c r="D68" s="20">
        <f t="shared" si="15"/>
        <v>24199</v>
      </c>
      <c r="E68" s="20">
        <f t="shared" si="15"/>
        <v>25395</v>
      </c>
      <c r="F68" s="20">
        <f t="shared" si="15"/>
        <v>23166</v>
      </c>
      <c r="G68" s="20">
        <f t="shared" si="15"/>
        <v>23166</v>
      </c>
      <c r="H68" s="20">
        <f t="shared" si="15"/>
        <v>27758</v>
      </c>
      <c r="I68" s="20">
        <f t="shared" si="15"/>
        <v>26666</v>
      </c>
      <c r="J68" s="20">
        <f t="shared" si="15"/>
        <v>26903</v>
      </c>
      <c r="K68" s="20">
        <f t="shared" si="15"/>
        <v>28693</v>
      </c>
      <c r="L68" s="20">
        <f t="shared" si="15"/>
        <v>28693</v>
      </c>
      <c r="M68" s="20">
        <f t="shared" si="15"/>
        <v>30387</v>
      </c>
      <c r="N68" s="20">
        <f t="shared" si="15"/>
        <v>27834</v>
      </c>
      <c r="O68" s="20">
        <f t="shared" si="15"/>
        <v>24280</v>
      </c>
      <c r="P68" s="20">
        <f t="shared" si="15"/>
        <v>23110</v>
      </c>
      <c r="Q68" s="20">
        <f t="shared" si="15"/>
        <v>23110</v>
      </c>
      <c r="R68" s="20">
        <f t="shared" si="15"/>
        <v>25446</v>
      </c>
      <c r="S68" s="20">
        <f t="shared" si="15"/>
        <v>24227</v>
      </c>
      <c r="T68" s="20">
        <f t="shared" si="15"/>
        <v>23572</v>
      </c>
      <c r="U68" s="20">
        <f t="shared" si="15"/>
        <v>22015</v>
      </c>
      <c r="V68" s="20">
        <f t="shared" si="15"/>
        <v>22015</v>
      </c>
      <c r="W68" s="20">
        <f t="shared" si="15"/>
        <v>24359</v>
      </c>
      <c r="X68" s="20">
        <f t="shared" si="15"/>
        <v>28123</v>
      </c>
      <c r="Y68" s="20">
        <f t="shared" si="15"/>
        <v>29092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</row>
    <row r="70" spans="2:41" x14ac:dyDescent="0.2">
      <c r="B70" s="2" t="s">
        <v>92</v>
      </c>
      <c r="C70" s="11">
        <v>31622</v>
      </c>
      <c r="D70" s="11">
        <v>32370</v>
      </c>
      <c r="E70" s="11">
        <v>32831</v>
      </c>
      <c r="F70" s="11">
        <v>35822</v>
      </c>
      <c r="G70" s="22">
        <v>35822</v>
      </c>
      <c r="H70" s="11">
        <v>34697</v>
      </c>
      <c r="I70" s="11">
        <v>33746</v>
      </c>
      <c r="J70" s="11">
        <v>36712</v>
      </c>
      <c r="K70" s="11">
        <v>36604</v>
      </c>
      <c r="L70" s="22">
        <v>36604</v>
      </c>
      <c r="M70" s="11">
        <v>39158</v>
      </c>
      <c r="N70" s="11">
        <v>39271</v>
      </c>
      <c r="O70" s="11">
        <v>41740</v>
      </c>
      <c r="P70" s="11">
        <v>41962</v>
      </c>
      <c r="Q70" s="22">
        <v>41962</v>
      </c>
      <c r="R70" s="11">
        <v>40915</v>
      </c>
      <c r="S70" s="11">
        <v>40754</v>
      </c>
      <c r="T70" s="11">
        <v>40567</v>
      </c>
      <c r="U70" s="11">
        <v>42743</v>
      </c>
      <c r="V70" s="22">
        <v>42743</v>
      </c>
      <c r="W70" s="11">
        <v>42060</v>
      </c>
      <c r="X70" s="11">
        <v>51869</v>
      </c>
      <c r="Y70" s="11">
        <v>50058</v>
      </c>
      <c r="Z70" s="11"/>
      <c r="AA70" s="23"/>
      <c r="AF70" s="23"/>
      <c r="AK70" s="23"/>
      <c r="AL70" s="23"/>
      <c r="AM70" s="23"/>
      <c r="AN70" s="23"/>
      <c r="AO70" s="23"/>
    </row>
    <row r="71" spans="2:41" x14ac:dyDescent="0.2">
      <c r="B71" s="2" t="s">
        <v>93</v>
      </c>
      <c r="C71" s="11">
        <v>5075</v>
      </c>
      <c r="D71" s="11">
        <v>4895</v>
      </c>
      <c r="E71" s="11">
        <v>4880</v>
      </c>
      <c r="F71" s="11">
        <v>5356</v>
      </c>
      <c r="G71" s="22">
        <v>5356</v>
      </c>
      <c r="H71" s="11">
        <v>5279</v>
      </c>
      <c r="I71" s="11">
        <v>5360</v>
      </c>
      <c r="J71" s="11">
        <v>5290</v>
      </c>
      <c r="K71" s="11">
        <v>5353</v>
      </c>
      <c r="L71" s="22">
        <v>5353</v>
      </c>
      <c r="M71" s="11">
        <v>5335</v>
      </c>
      <c r="N71" s="11">
        <v>5431</v>
      </c>
      <c r="O71" s="11">
        <v>5807</v>
      </c>
      <c r="P71" s="11">
        <v>6226</v>
      </c>
      <c r="Q71" s="22">
        <v>6226</v>
      </c>
      <c r="R71" s="11">
        <v>6209</v>
      </c>
      <c r="S71" s="11">
        <v>6376</v>
      </c>
      <c r="T71" s="11">
        <v>6300</v>
      </c>
      <c r="U71" s="11">
        <v>7082</v>
      </c>
      <c r="V71" s="22">
        <v>7082</v>
      </c>
      <c r="W71" s="11">
        <v>7107</v>
      </c>
      <c r="X71" s="11">
        <v>7635</v>
      </c>
      <c r="Y71" s="11">
        <v>7538</v>
      </c>
      <c r="Z71" s="11"/>
      <c r="AA71" s="23"/>
      <c r="AF71" s="23"/>
      <c r="AK71" s="23"/>
      <c r="AL71" s="23"/>
      <c r="AM71" s="23"/>
      <c r="AN71" s="23"/>
      <c r="AO71" s="23"/>
    </row>
    <row r="72" spans="2:41" x14ac:dyDescent="0.2">
      <c r="B72" s="2" t="s">
        <v>140</v>
      </c>
      <c r="C72" s="11"/>
      <c r="E72" s="11"/>
      <c r="F72" s="11">
        <v>1131</v>
      </c>
      <c r="G72" s="22">
        <v>1131</v>
      </c>
      <c r="H72" s="11"/>
      <c r="I72" s="11"/>
      <c r="J72" s="11"/>
      <c r="K72" s="11">
        <v>909</v>
      </c>
      <c r="L72" s="22">
        <v>909</v>
      </c>
      <c r="P72" s="11">
        <v>1019</v>
      </c>
      <c r="Q72" s="22">
        <v>1019</v>
      </c>
      <c r="R72" s="11">
        <v>954</v>
      </c>
      <c r="S72" s="11">
        <v>956</v>
      </c>
      <c r="T72" s="11">
        <v>753</v>
      </c>
      <c r="U72" s="11">
        <v>863</v>
      </c>
      <c r="V72" s="22">
        <v>863</v>
      </c>
      <c r="W72" s="11">
        <v>946</v>
      </c>
      <c r="X72" s="11">
        <v>2074</v>
      </c>
      <c r="Y72" s="11">
        <v>2083</v>
      </c>
      <c r="Z72" s="11"/>
      <c r="AA72" s="23"/>
      <c r="AF72" s="23"/>
      <c r="AK72" s="23"/>
      <c r="AL72" s="23"/>
      <c r="AM72" s="23"/>
      <c r="AN72" s="23"/>
      <c r="AO72" s="23"/>
    </row>
    <row r="73" spans="2:41" x14ac:dyDescent="0.2">
      <c r="B73" s="2" t="s">
        <v>94</v>
      </c>
      <c r="C73" s="11">
        <v>2182</v>
      </c>
      <c r="D73" s="11">
        <v>2299</v>
      </c>
      <c r="E73" s="11">
        <v>2278</v>
      </c>
      <c r="F73" s="11">
        <v>1807</v>
      </c>
      <c r="G73" s="22">
        <v>1807</v>
      </c>
      <c r="H73" s="11">
        <v>3085</v>
      </c>
      <c r="I73" s="11">
        <v>2928</v>
      </c>
      <c r="J73" s="11">
        <v>3091</v>
      </c>
      <c r="K73" s="11">
        <v>2013</v>
      </c>
      <c r="L73" s="22">
        <v>2013</v>
      </c>
      <c r="M73" s="11">
        <v>3396</v>
      </c>
      <c r="N73" s="11">
        <v>3052</v>
      </c>
      <c r="O73" s="11">
        <v>3741</v>
      </c>
      <c r="P73" s="11">
        <v>2566</v>
      </c>
      <c r="Q73" s="22">
        <v>2566</v>
      </c>
      <c r="R73" s="11">
        <v>2500</v>
      </c>
      <c r="S73" s="11">
        <v>2739</v>
      </c>
      <c r="T73" s="11">
        <v>2955</v>
      </c>
      <c r="U73" s="11">
        <v>2783</v>
      </c>
      <c r="V73" s="22">
        <v>2783</v>
      </c>
      <c r="W73" s="11">
        <v>2938</v>
      </c>
      <c r="X73" s="11">
        <v>2725</v>
      </c>
      <c r="Y73" s="11">
        <v>2707</v>
      </c>
      <c r="Z73" s="11"/>
      <c r="AA73" s="23"/>
      <c r="AF73" s="23"/>
      <c r="AK73" s="23"/>
      <c r="AL73" s="23"/>
      <c r="AM73" s="23"/>
      <c r="AN73" s="23"/>
      <c r="AO73" s="23"/>
    </row>
    <row r="74" spans="2:41" x14ac:dyDescent="0.2">
      <c r="B74" s="19" t="s">
        <v>95</v>
      </c>
      <c r="C74" s="20">
        <f t="shared" ref="C74:Y74" si="16">SUM(C70:C73)</f>
        <v>38879</v>
      </c>
      <c r="D74" s="20">
        <f t="shared" si="16"/>
        <v>39564</v>
      </c>
      <c r="E74" s="20">
        <f t="shared" si="16"/>
        <v>39989</v>
      </c>
      <c r="F74" s="20">
        <f t="shared" si="16"/>
        <v>44116</v>
      </c>
      <c r="G74" s="20">
        <f t="shared" si="16"/>
        <v>44116</v>
      </c>
      <c r="H74" s="20">
        <f t="shared" si="16"/>
        <v>43061</v>
      </c>
      <c r="I74" s="20">
        <f t="shared" si="16"/>
        <v>42034</v>
      </c>
      <c r="J74" s="20">
        <f t="shared" si="16"/>
        <v>45093</v>
      </c>
      <c r="K74" s="20">
        <f t="shared" si="16"/>
        <v>44879</v>
      </c>
      <c r="L74" s="20">
        <f t="shared" si="16"/>
        <v>44879</v>
      </c>
      <c r="M74" s="20">
        <f t="shared" si="16"/>
        <v>47889</v>
      </c>
      <c r="N74" s="20">
        <f t="shared" si="16"/>
        <v>47754</v>
      </c>
      <c r="O74" s="20">
        <f t="shared" si="16"/>
        <v>51288</v>
      </c>
      <c r="P74" s="20">
        <f t="shared" si="16"/>
        <v>51773</v>
      </c>
      <c r="Q74" s="20">
        <f t="shared" si="16"/>
        <v>51773</v>
      </c>
      <c r="R74" s="20">
        <f t="shared" si="16"/>
        <v>50578</v>
      </c>
      <c r="S74" s="20">
        <f t="shared" si="16"/>
        <v>50825</v>
      </c>
      <c r="T74" s="20">
        <f t="shared" si="16"/>
        <v>50575</v>
      </c>
      <c r="U74" s="20">
        <f t="shared" si="16"/>
        <v>53471</v>
      </c>
      <c r="V74" s="20">
        <f t="shared" si="16"/>
        <v>53471</v>
      </c>
      <c r="W74" s="20">
        <f t="shared" si="16"/>
        <v>53051</v>
      </c>
      <c r="X74" s="20">
        <f t="shared" si="16"/>
        <v>64303</v>
      </c>
      <c r="Y74" s="20">
        <f t="shared" si="16"/>
        <v>62386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</row>
    <row r="75" spans="2:41" x14ac:dyDescent="0.2">
      <c r="B75" s="28" t="s">
        <v>96</v>
      </c>
      <c r="C75" s="32">
        <f t="shared" ref="C75:Y75" si="17">C68+C74</f>
        <v>62227</v>
      </c>
      <c r="D75" s="32">
        <f t="shared" si="17"/>
        <v>63763</v>
      </c>
      <c r="E75" s="32">
        <f t="shared" si="17"/>
        <v>65384</v>
      </c>
      <c r="F75" s="32">
        <f t="shared" si="17"/>
        <v>67282</v>
      </c>
      <c r="G75" s="32">
        <f t="shared" si="17"/>
        <v>67282</v>
      </c>
      <c r="H75" s="32">
        <f t="shared" si="17"/>
        <v>70819</v>
      </c>
      <c r="I75" s="32">
        <f t="shared" si="17"/>
        <v>68700</v>
      </c>
      <c r="J75" s="32">
        <f t="shared" si="17"/>
        <v>71996</v>
      </c>
      <c r="K75" s="32">
        <f t="shared" si="17"/>
        <v>73572</v>
      </c>
      <c r="L75" s="32">
        <f t="shared" si="17"/>
        <v>73572</v>
      </c>
      <c r="M75" s="32">
        <f t="shared" si="17"/>
        <v>78276</v>
      </c>
      <c r="N75" s="32">
        <f t="shared" si="17"/>
        <v>75588</v>
      </c>
      <c r="O75" s="32">
        <f t="shared" si="17"/>
        <v>75568</v>
      </c>
      <c r="P75" s="32">
        <f t="shared" si="17"/>
        <v>74883</v>
      </c>
      <c r="Q75" s="32">
        <f t="shared" si="17"/>
        <v>74883</v>
      </c>
      <c r="R75" s="32">
        <f t="shared" si="17"/>
        <v>76024</v>
      </c>
      <c r="S75" s="32">
        <f t="shared" si="17"/>
        <v>75052</v>
      </c>
      <c r="T75" s="32">
        <f t="shared" si="17"/>
        <v>74147</v>
      </c>
      <c r="U75" s="32">
        <f t="shared" si="17"/>
        <v>75486</v>
      </c>
      <c r="V75" s="32">
        <f t="shared" si="17"/>
        <v>75486</v>
      </c>
      <c r="W75" s="32">
        <f t="shared" si="17"/>
        <v>77410</v>
      </c>
      <c r="X75" s="32">
        <f t="shared" si="17"/>
        <v>92426</v>
      </c>
      <c r="Y75" s="32">
        <f t="shared" si="17"/>
        <v>91478</v>
      </c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</row>
    <row r="77" spans="2:41" x14ac:dyDescent="0.2">
      <c r="B77" s="16" t="s">
        <v>97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</row>
    <row r="78" spans="2:41" x14ac:dyDescent="0.2">
      <c r="B78" s="2" t="s">
        <v>98</v>
      </c>
      <c r="C78" s="11">
        <v>89</v>
      </c>
      <c r="D78" s="11">
        <v>89</v>
      </c>
      <c r="E78" s="11">
        <v>89</v>
      </c>
      <c r="F78" s="11">
        <v>89</v>
      </c>
      <c r="G78" s="22">
        <v>89</v>
      </c>
      <c r="H78" s="11">
        <v>90</v>
      </c>
      <c r="I78" s="11">
        <v>90</v>
      </c>
      <c r="J78" s="11">
        <v>90</v>
      </c>
      <c r="K78" s="11">
        <v>90</v>
      </c>
      <c r="L78" s="22">
        <v>90</v>
      </c>
      <c r="M78" s="11">
        <v>90</v>
      </c>
      <c r="N78" s="11">
        <v>90</v>
      </c>
      <c r="O78" s="11">
        <v>90</v>
      </c>
      <c r="P78" s="11">
        <v>90</v>
      </c>
      <c r="Q78" s="22">
        <v>90</v>
      </c>
      <c r="R78" s="11">
        <v>90</v>
      </c>
      <c r="S78" s="11">
        <v>90</v>
      </c>
      <c r="T78" s="11">
        <v>90</v>
      </c>
      <c r="U78" s="11">
        <v>90</v>
      </c>
      <c r="V78" s="22">
        <v>90</v>
      </c>
      <c r="W78" s="11">
        <v>90</v>
      </c>
      <c r="X78" s="11">
        <v>90</v>
      </c>
      <c r="Y78" s="11">
        <v>90</v>
      </c>
      <c r="Z78" s="11"/>
      <c r="AA78" s="23"/>
      <c r="AF78" s="23"/>
      <c r="AK78" s="23"/>
      <c r="AL78" s="23"/>
      <c r="AM78" s="23"/>
      <c r="AN78" s="23"/>
      <c r="AO78" s="23"/>
    </row>
    <row r="79" spans="2:41" x14ac:dyDescent="0.2">
      <c r="B79" s="2" t="s">
        <v>99</v>
      </c>
      <c r="C79" s="11">
        <v>11008</v>
      </c>
      <c r="D79" s="11">
        <v>11228</v>
      </c>
      <c r="E79" s="11">
        <v>11312</v>
      </c>
      <c r="F79" s="11">
        <v>11540</v>
      </c>
      <c r="G79" s="22">
        <v>11540</v>
      </c>
      <c r="H79" s="11">
        <v>11555</v>
      </c>
      <c r="I79" s="11">
        <v>11797</v>
      </c>
      <c r="J79" s="11">
        <v>11889</v>
      </c>
      <c r="K79" s="11">
        <v>12132</v>
      </c>
      <c r="L79" s="22">
        <v>12132</v>
      </c>
      <c r="M79" s="11">
        <v>12079</v>
      </c>
      <c r="N79" s="11">
        <v>12309</v>
      </c>
      <c r="O79" s="11">
        <v>12385</v>
      </c>
      <c r="P79" s="11">
        <v>12592</v>
      </c>
      <c r="Q79" s="22">
        <v>12592</v>
      </c>
      <c r="R79" s="11">
        <v>12584</v>
      </c>
      <c r="S79" s="11">
        <v>12842</v>
      </c>
      <c r="T79" s="11">
        <v>12927</v>
      </c>
      <c r="U79" s="11">
        <v>13147</v>
      </c>
      <c r="V79" s="22">
        <v>13147</v>
      </c>
      <c r="W79" s="11">
        <v>13153</v>
      </c>
      <c r="X79" s="11">
        <v>13731</v>
      </c>
      <c r="Y79" s="11">
        <v>13835</v>
      </c>
      <c r="Z79" s="11"/>
      <c r="AA79" s="23"/>
      <c r="AF79" s="23"/>
      <c r="AK79" s="23"/>
      <c r="AL79" s="23"/>
      <c r="AM79" s="23"/>
      <c r="AN79" s="23"/>
      <c r="AO79" s="23"/>
    </row>
    <row r="80" spans="2:41" x14ac:dyDescent="0.2">
      <c r="B80" s="2" t="s">
        <v>100</v>
      </c>
      <c r="C80" s="11">
        <v>52354</v>
      </c>
      <c r="D80" s="11">
        <v>55074</v>
      </c>
      <c r="E80" s="11">
        <v>56892</v>
      </c>
      <c r="F80" s="11">
        <v>58134</v>
      </c>
      <c r="G80" s="22">
        <v>58134</v>
      </c>
      <c r="H80" s="11">
        <v>60504</v>
      </c>
      <c r="I80" s="11">
        <v>63560</v>
      </c>
      <c r="J80" s="11">
        <v>65951</v>
      </c>
      <c r="K80" s="11">
        <v>67580</v>
      </c>
      <c r="L80" s="22">
        <v>67580</v>
      </c>
      <c r="M80" s="11">
        <v>69849</v>
      </c>
      <c r="N80" s="11">
        <v>73074</v>
      </c>
      <c r="O80" s="11">
        <v>75467</v>
      </c>
      <c r="P80" s="11">
        <v>76896</v>
      </c>
      <c r="Q80" s="22">
        <v>76896</v>
      </c>
      <c r="R80" s="11">
        <v>78651</v>
      </c>
      <c r="S80" s="11">
        <v>81213</v>
      </c>
      <c r="T80" s="11">
        <v>82934</v>
      </c>
      <c r="U80" s="11">
        <v>83656</v>
      </c>
      <c r="V80" s="22">
        <v>83656</v>
      </c>
      <c r="W80" s="11">
        <v>85027</v>
      </c>
      <c r="X80" s="11">
        <v>87357</v>
      </c>
      <c r="Y80" s="11">
        <v>88771</v>
      </c>
      <c r="Z80" s="11"/>
      <c r="AA80" s="23"/>
      <c r="AF80" s="23"/>
      <c r="AK80" s="23"/>
      <c r="AL80" s="23"/>
      <c r="AM80" s="23"/>
      <c r="AN80" s="23"/>
      <c r="AO80" s="23"/>
    </row>
    <row r="81" spans="2:41" x14ac:dyDescent="0.2">
      <c r="B81" s="2" t="s">
        <v>101</v>
      </c>
      <c r="C81" s="11">
        <v>-1148</v>
      </c>
      <c r="D81" s="11">
        <v>-1012</v>
      </c>
      <c r="E81" s="11">
        <v>-965</v>
      </c>
      <c r="F81" s="11">
        <v>-671</v>
      </c>
      <c r="G81" s="22">
        <v>-671</v>
      </c>
      <c r="H81" s="11">
        <v>-608</v>
      </c>
      <c r="I81" s="11">
        <v>-585</v>
      </c>
      <c r="J81" s="11">
        <v>-602</v>
      </c>
      <c r="K81" s="11">
        <v>-704</v>
      </c>
      <c r="L81" s="22">
        <v>-704</v>
      </c>
      <c r="M81" s="11">
        <v>-683</v>
      </c>
      <c r="N81" s="11">
        <v>-672</v>
      </c>
      <c r="O81" s="11">
        <v>-856</v>
      </c>
      <c r="P81" s="11">
        <v>-718</v>
      </c>
      <c r="Q81" s="22">
        <v>-718</v>
      </c>
      <c r="R81" s="11">
        <v>-637</v>
      </c>
      <c r="S81" s="11">
        <v>-467</v>
      </c>
      <c r="T81" s="11">
        <v>-662</v>
      </c>
      <c r="U81" s="11">
        <v>-477</v>
      </c>
      <c r="V81" s="22">
        <v>-477</v>
      </c>
      <c r="W81" s="11">
        <v>-478</v>
      </c>
      <c r="X81" s="11">
        <v>-787</v>
      </c>
      <c r="Y81" s="11">
        <v>-939</v>
      </c>
      <c r="Z81" s="11"/>
      <c r="AA81" s="23"/>
      <c r="AF81" s="23"/>
      <c r="AK81" s="23"/>
      <c r="AL81" s="23"/>
      <c r="AM81" s="23"/>
      <c r="AN81" s="23"/>
      <c r="AO81" s="23"/>
    </row>
    <row r="82" spans="2:41" x14ac:dyDescent="0.2">
      <c r="B82" s="2" t="s">
        <v>102</v>
      </c>
      <c r="C82" s="11">
        <v>-65793</v>
      </c>
      <c r="D82" s="11">
        <v>-65793</v>
      </c>
      <c r="E82" s="11">
        <v>-65793</v>
      </c>
      <c r="F82" s="11">
        <v>-65793</v>
      </c>
      <c r="G82" s="22">
        <v>-65793</v>
      </c>
      <c r="H82" s="11">
        <v>-69793</v>
      </c>
      <c r="I82" s="11">
        <v>-72793</v>
      </c>
      <c r="J82" s="11">
        <v>-76293</v>
      </c>
      <c r="K82" s="11">
        <v>-80794</v>
      </c>
      <c r="L82" s="22">
        <v>-80794</v>
      </c>
      <c r="M82" s="11">
        <v>-83044</v>
      </c>
      <c r="N82" s="11">
        <v>-84564</v>
      </c>
      <c r="O82" s="11">
        <v>-85788</v>
      </c>
      <c r="P82" s="11">
        <v>-87298</v>
      </c>
      <c r="Q82" s="22">
        <v>-87298</v>
      </c>
      <c r="R82" s="11">
        <v>-90326</v>
      </c>
      <c r="S82" s="11">
        <v>-92343</v>
      </c>
      <c r="T82" s="11">
        <v>-93859</v>
      </c>
      <c r="U82" s="11">
        <v>-95372</v>
      </c>
      <c r="V82" s="22">
        <v>-95372</v>
      </c>
      <c r="W82" s="11">
        <v>-95972</v>
      </c>
      <c r="X82" s="11">
        <v>-95971</v>
      </c>
      <c r="Y82" s="11">
        <v>-95971</v>
      </c>
      <c r="Z82" s="11"/>
      <c r="AA82" s="23"/>
      <c r="AF82" s="23"/>
      <c r="AK82" s="23"/>
      <c r="AL82" s="23"/>
      <c r="AM82" s="23"/>
      <c r="AN82" s="23"/>
      <c r="AO82" s="23"/>
    </row>
    <row r="83" spans="2:41" x14ac:dyDescent="0.2">
      <c r="B83" s="19" t="s">
        <v>103</v>
      </c>
      <c r="C83" s="20">
        <f t="shared" ref="C83:Y83" si="18">SUM(C78:C82)</f>
        <v>-3490</v>
      </c>
      <c r="D83" s="20">
        <f t="shared" si="18"/>
        <v>-414</v>
      </c>
      <c r="E83" s="20">
        <f t="shared" si="18"/>
        <v>1535</v>
      </c>
      <c r="F83" s="20">
        <f t="shared" si="18"/>
        <v>3299</v>
      </c>
      <c r="G83" s="20">
        <f t="shared" si="18"/>
        <v>3299</v>
      </c>
      <c r="H83" s="20">
        <f t="shared" si="18"/>
        <v>1748</v>
      </c>
      <c r="I83" s="20">
        <f t="shared" si="18"/>
        <v>2069</v>
      </c>
      <c r="J83" s="20">
        <f t="shared" si="18"/>
        <v>1035</v>
      </c>
      <c r="K83" s="20">
        <f t="shared" si="18"/>
        <v>-1696</v>
      </c>
      <c r="L83" s="20">
        <f t="shared" si="18"/>
        <v>-1696</v>
      </c>
      <c r="M83" s="20">
        <f t="shared" si="18"/>
        <v>-1709</v>
      </c>
      <c r="N83" s="20">
        <f t="shared" si="18"/>
        <v>237</v>
      </c>
      <c r="O83" s="20">
        <f t="shared" si="18"/>
        <v>1298</v>
      </c>
      <c r="P83" s="20">
        <f t="shared" si="18"/>
        <v>1562</v>
      </c>
      <c r="Q83" s="20">
        <f t="shared" si="18"/>
        <v>1562</v>
      </c>
      <c r="R83" s="20">
        <f t="shared" si="18"/>
        <v>362</v>
      </c>
      <c r="S83" s="20">
        <f t="shared" si="18"/>
        <v>1335</v>
      </c>
      <c r="T83" s="20">
        <f t="shared" si="18"/>
        <v>1430</v>
      </c>
      <c r="U83" s="20">
        <f t="shared" si="18"/>
        <v>1044</v>
      </c>
      <c r="V83" s="20">
        <f t="shared" si="18"/>
        <v>1044</v>
      </c>
      <c r="W83" s="20">
        <f t="shared" si="18"/>
        <v>1820</v>
      </c>
      <c r="X83" s="20">
        <f t="shared" si="18"/>
        <v>4420</v>
      </c>
      <c r="Y83" s="20">
        <f t="shared" si="18"/>
        <v>5786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</row>
    <row r="84" spans="2:41" x14ac:dyDescent="0.2">
      <c r="B84" s="28" t="s">
        <v>104</v>
      </c>
      <c r="C84" s="32">
        <f t="shared" ref="C84:Y84" si="19">C75+C83</f>
        <v>58737</v>
      </c>
      <c r="D84" s="32">
        <f t="shared" si="19"/>
        <v>63349</v>
      </c>
      <c r="E84" s="32">
        <f t="shared" si="19"/>
        <v>66919</v>
      </c>
      <c r="F84" s="32">
        <f t="shared" si="19"/>
        <v>70581</v>
      </c>
      <c r="G84" s="32">
        <f t="shared" si="19"/>
        <v>70581</v>
      </c>
      <c r="H84" s="32">
        <f t="shared" si="19"/>
        <v>72567</v>
      </c>
      <c r="I84" s="32">
        <f t="shared" si="19"/>
        <v>70769</v>
      </c>
      <c r="J84" s="32">
        <f t="shared" si="19"/>
        <v>73031</v>
      </c>
      <c r="K84" s="32">
        <f t="shared" si="19"/>
        <v>71876</v>
      </c>
      <c r="L84" s="32">
        <f t="shared" si="19"/>
        <v>71876</v>
      </c>
      <c r="M84" s="32">
        <f t="shared" si="19"/>
        <v>76567</v>
      </c>
      <c r="N84" s="32">
        <f t="shared" si="19"/>
        <v>75825</v>
      </c>
      <c r="O84" s="32">
        <f t="shared" si="19"/>
        <v>76866</v>
      </c>
      <c r="P84" s="32">
        <f t="shared" si="19"/>
        <v>76445</v>
      </c>
      <c r="Q84" s="32">
        <f t="shared" si="19"/>
        <v>76445</v>
      </c>
      <c r="R84" s="32">
        <f t="shared" si="19"/>
        <v>76386</v>
      </c>
      <c r="S84" s="32">
        <f t="shared" si="19"/>
        <v>76387</v>
      </c>
      <c r="T84" s="32">
        <f t="shared" si="19"/>
        <v>75577</v>
      </c>
      <c r="U84" s="32">
        <f t="shared" si="19"/>
        <v>76530</v>
      </c>
      <c r="V84" s="32">
        <f t="shared" si="19"/>
        <v>76530</v>
      </c>
      <c r="W84" s="32">
        <f t="shared" si="19"/>
        <v>79230</v>
      </c>
      <c r="X84" s="32">
        <f t="shared" si="19"/>
        <v>96846</v>
      </c>
      <c r="Y84" s="32">
        <f t="shared" si="19"/>
        <v>97264</v>
      </c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</row>
    <row r="86" spans="2:41" x14ac:dyDescent="0.2">
      <c r="B86" s="2" t="s">
        <v>106</v>
      </c>
      <c r="C86" s="33" t="str">
        <f t="shared" ref="C86:Y86" si="20">IF(C56=C84,("Y"), ("N"))</f>
        <v>Y</v>
      </c>
      <c r="D86" s="33"/>
      <c r="E86" s="33" t="str">
        <f t="shared" si="20"/>
        <v>Y</v>
      </c>
      <c r="F86" s="33" t="str">
        <f t="shared" si="20"/>
        <v>Y</v>
      </c>
      <c r="G86" s="33" t="str">
        <f t="shared" si="20"/>
        <v>Y</v>
      </c>
      <c r="H86" s="33" t="str">
        <f t="shared" si="20"/>
        <v>Y</v>
      </c>
      <c r="I86" s="33" t="str">
        <f t="shared" si="20"/>
        <v>Y</v>
      </c>
      <c r="J86" s="33" t="str">
        <f t="shared" si="20"/>
        <v>Y</v>
      </c>
      <c r="K86" s="33" t="str">
        <f t="shared" si="20"/>
        <v>Y</v>
      </c>
      <c r="L86" s="33" t="str">
        <f t="shared" si="20"/>
        <v>Y</v>
      </c>
      <c r="M86" s="33" t="str">
        <f t="shared" si="20"/>
        <v>Y</v>
      </c>
      <c r="N86" s="33" t="str">
        <f t="shared" si="20"/>
        <v>Y</v>
      </c>
      <c r="O86" s="33" t="str">
        <f t="shared" si="20"/>
        <v>Y</v>
      </c>
      <c r="P86" s="33" t="str">
        <f t="shared" si="20"/>
        <v>Y</v>
      </c>
      <c r="Q86" s="33" t="str">
        <f t="shared" si="20"/>
        <v>Y</v>
      </c>
      <c r="R86" s="33" t="str">
        <f t="shared" si="20"/>
        <v>Y</v>
      </c>
      <c r="S86" s="33" t="str">
        <f t="shared" si="20"/>
        <v>Y</v>
      </c>
      <c r="T86" s="33" t="str">
        <f t="shared" si="20"/>
        <v>Y</v>
      </c>
      <c r="U86" s="33" t="str">
        <f t="shared" si="20"/>
        <v>Y</v>
      </c>
      <c r="V86" s="33" t="str">
        <f t="shared" si="20"/>
        <v>Y</v>
      </c>
      <c r="W86" s="33" t="str">
        <f t="shared" si="20"/>
        <v>Y</v>
      </c>
      <c r="X86" s="33" t="str">
        <f t="shared" si="20"/>
        <v>Y</v>
      </c>
      <c r="Y86" s="33" t="str">
        <f t="shared" si="20"/>
        <v>Y</v>
      </c>
    </row>
    <row r="89" spans="2:41" x14ac:dyDescent="0.2">
      <c r="B89" s="2" t="s">
        <v>89</v>
      </c>
    </row>
    <row r="90" spans="2:41" x14ac:dyDescent="0.2">
      <c r="B90" s="5" t="s">
        <v>68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 spans="2:41" x14ac:dyDescent="0.2">
      <c r="B91" s="16" t="s">
        <v>121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</row>
    <row r="92" spans="2:41" x14ac:dyDescent="0.2">
      <c r="B92" s="7" t="s">
        <v>138</v>
      </c>
      <c r="C92" s="11">
        <v>2245</v>
      </c>
      <c r="D92" s="11">
        <f>6577-2245</f>
        <v>4332</v>
      </c>
      <c r="E92" s="11">
        <f>10009-D92-C92</f>
        <v>3432</v>
      </c>
      <c r="F92" s="11">
        <f>G92-C92-D92-E92</f>
        <v>2857</v>
      </c>
      <c r="G92" s="22">
        <v>12866</v>
      </c>
      <c r="H92" s="11">
        <v>4145</v>
      </c>
      <c r="I92" s="11">
        <f>8952-4145</f>
        <v>4807</v>
      </c>
      <c r="J92" s="11">
        <f>13081-I92-H92</f>
        <v>4129</v>
      </c>
      <c r="K92" s="11">
        <f>L92-H92-I92-J92</f>
        <v>3352</v>
      </c>
      <c r="L92" s="22">
        <v>16433</v>
      </c>
      <c r="M92" s="11">
        <v>4231</v>
      </c>
      <c r="N92" s="11">
        <f>9404-M92</f>
        <v>5173</v>
      </c>
      <c r="O92" s="11">
        <f>13743-N92-M92</f>
        <v>4339</v>
      </c>
      <c r="P92" s="11">
        <f>Q92-M92-N92-O92</f>
        <v>3362</v>
      </c>
      <c r="Q92" s="22">
        <v>17105</v>
      </c>
      <c r="R92" s="11">
        <v>3873</v>
      </c>
      <c r="S92" s="11">
        <f>8532-R92</f>
        <v>4659</v>
      </c>
      <c r="T92" s="11">
        <f>12342-S92-R92</f>
        <v>3810</v>
      </c>
      <c r="U92" s="11">
        <f>V92-T92-S92-R92</f>
        <v>2801</v>
      </c>
      <c r="V92" s="22">
        <v>15143</v>
      </c>
      <c r="W92" s="11">
        <v>3600</v>
      </c>
      <c r="X92" s="11">
        <f>8161-W92</f>
        <v>4561</v>
      </c>
      <c r="Y92" s="11">
        <f>11809-X92-W92</f>
        <v>3648</v>
      </c>
      <c r="Z92" s="11"/>
      <c r="AA92" s="35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</row>
    <row r="93" spans="2:41" x14ac:dyDescent="0.2">
      <c r="B93" s="7" t="s">
        <v>111</v>
      </c>
      <c r="C93" s="11">
        <v>607</v>
      </c>
      <c r="D93" s="11">
        <f>1222-607</f>
        <v>615</v>
      </c>
      <c r="E93" s="11">
        <f>1853-D93-C93</f>
        <v>631</v>
      </c>
      <c r="F93" s="11">
        <f>G93-C93-D93-E93</f>
        <v>666</v>
      </c>
      <c r="G93" s="22">
        <v>2519</v>
      </c>
      <c r="H93" s="11">
        <v>703</v>
      </c>
      <c r="I93" s="11">
        <f>1414-703</f>
        <v>711</v>
      </c>
      <c r="J93" s="11">
        <f>2128-I93-H93</f>
        <v>714</v>
      </c>
      <c r="K93" s="11">
        <f>L93-H93-I93-J93</f>
        <v>734</v>
      </c>
      <c r="L93" s="22">
        <v>2862</v>
      </c>
      <c r="M93" s="11">
        <v>727</v>
      </c>
      <c r="N93" s="11">
        <f>1473-M93</f>
        <v>746</v>
      </c>
      <c r="O93" s="11">
        <f>2216-N93-M93</f>
        <v>743</v>
      </c>
      <c r="P93" s="11">
        <f>Q93-M93-N93-O93</f>
        <v>759</v>
      </c>
      <c r="Q93" s="22">
        <v>2975</v>
      </c>
      <c r="R93" s="11">
        <v>793</v>
      </c>
      <c r="S93" s="11">
        <f>1588-R93</f>
        <v>795</v>
      </c>
      <c r="T93" s="11">
        <f>2415-S93-R93</f>
        <v>827</v>
      </c>
      <c r="U93" s="11">
        <f>V93-T93-S93-R93</f>
        <v>832</v>
      </c>
      <c r="V93" s="22">
        <v>3247</v>
      </c>
      <c r="W93" s="11">
        <v>837</v>
      </c>
      <c r="X93" s="11">
        <f>1615-W93</f>
        <v>778</v>
      </c>
      <c r="Y93" s="11">
        <f>2472-X93-W93</f>
        <v>857</v>
      </c>
      <c r="Z93" s="11"/>
      <c r="AA93" s="23"/>
    </row>
    <row r="94" spans="2:41" x14ac:dyDescent="0.2">
      <c r="B94" s="7" t="s">
        <v>146</v>
      </c>
      <c r="C94" s="11"/>
      <c r="D94" s="11"/>
      <c r="E94" s="11"/>
      <c r="F94" s="11"/>
      <c r="G94" s="22"/>
      <c r="H94" s="11"/>
      <c r="I94" s="11"/>
      <c r="J94" s="11"/>
      <c r="K94" s="11"/>
      <c r="L94" s="22"/>
      <c r="M94" s="11"/>
      <c r="N94" s="11"/>
      <c r="O94" s="11"/>
      <c r="P94" s="11"/>
      <c r="Q94" s="22"/>
      <c r="R94" s="11"/>
      <c r="S94" s="11"/>
      <c r="T94" s="11"/>
      <c r="U94" s="11"/>
      <c r="V94" s="22"/>
      <c r="W94" s="11"/>
      <c r="X94" s="11">
        <f>142-W94</f>
        <v>142</v>
      </c>
      <c r="Y94" s="11">
        <f>280-X94</f>
        <v>138</v>
      </c>
      <c r="Z94" s="11"/>
      <c r="AA94" s="23"/>
    </row>
    <row r="95" spans="2:41" x14ac:dyDescent="0.2">
      <c r="B95" s="7" t="s">
        <v>112</v>
      </c>
      <c r="C95" s="11">
        <v>88</v>
      </c>
      <c r="D95" s="11">
        <f>155-88</f>
        <v>67</v>
      </c>
      <c r="E95" s="11">
        <f>234-D95-C95</f>
        <v>79</v>
      </c>
      <c r="F95" s="11">
        <f>G95-C95-D95-E95</f>
        <v>76</v>
      </c>
      <c r="G95" s="22">
        <v>310</v>
      </c>
      <c r="H95" s="11">
        <v>146</v>
      </c>
      <c r="I95" s="11">
        <f>226-146</f>
        <v>80</v>
      </c>
      <c r="J95" s="11">
        <f>312-I95-H95</f>
        <v>86</v>
      </c>
      <c r="K95" s="11">
        <f>L95-H95-I95-J95</f>
        <v>87</v>
      </c>
      <c r="L95" s="22">
        <v>399</v>
      </c>
      <c r="M95" s="11">
        <v>115</v>
      </c>
      <c r="N95" s="11">
        <f>196-M95</f>
        <v>81</v>
      </c>
      <c r="O95" s="11">
        <f>286-N95-M95</f>
        <v>90</v>
      </c>
      <c r="P95" s="11">
        <f>Q95-M95-N95-O95</f>
        <v>80</v>
      </c>
      <c r="Q95" s="22">
        <v>366</v>
      </c>
      <c r="R95" s="11">
        <v>124</v>
      </c>
      <c r="S95" s="11">
        <f>215-R95</f>
        <v>91</v>
      </c>
      <c r="T95" s="11">
        <f>300-S95-R95</f>
        <v>85</v>
      </c>
      <c r="U95" s="11">
        <f>V95-T95-S95-R95</f>
        <v>80</v>
      </c>
      <c r="V95" s="22">
        <v>380</v>
      </c>
      <c r="W95" s="11">
        <v>124</v>
      </c>
      <c r="X95" s="11">
        <f>222-W95</f>
        <v>98</v>
      </c>
      <c r="Y95" s="11">
        <f>328-X95-W95</f>
        <v>106</v>
      </c>
      <c r="Z95" s="11"/>
      <c r="AA95" s="23"/>
    </row>
    <row r="96" spans="2:41" x14ac:dyDescent="0.2">
      <c r="B96" s="7" t="s">
        <v>142</v>
      </c>
      <c r="C96" s="11"/>
      <c r="D96" s="11"/>
      <c r="E96" s="11"/>
      <c r="F96" s="11"/>
      <c r="G96" s="22">
        <v>0</v>
      </c>
      <c r="H96" s="11"/>
      <c r="I96" s="11"/>
      <c r="J96" s="11"/>
      <c r="K96" s="11"/>
      <c r="L96" s="23"/>
      <c r="N96" s="11"/>
      <c r="O96" s="11"/>
      <c r="P96" s="11"/>
      <c r="Q96" s="23"/>
      <c r="S96" s="11"/>
      <c r="T96" s="11"/>
      <c r="U96" s="11"/>
      <c r="V96" s="23"/>
      <c r="X96" s="11"/>
      <c r="Y96" s="11"/>
      <c r="Z96" s="11"/>
      <c r="AA96" s="23"/>
    </row>
    <row r="97" spans="2:41" x14ac:dyDescent="0.2">
      <c r="B97" s="7" t="s">
        <v>113</v>
      </c>
      <c r="C97" s="11">
        <v>-534</v>
      </c>
      <c r="D97" s="11">
        <f>(-477)-(-534)</f>
        <v>57</v>
      </c>
      <c r="E97" s="11">
        <f>(-580)-D97-C97</f>
        <v>-103</v>
      </c>
      <c r="F97" s="11">
        <f t="shared" ref="F97:F104" si="21">G97-C97-D97-E97</f>
        <v>115</v>
      </c>
      <c r="G97" s="22">
        <v>-465</v>
      </c>
      <c r="H97" s="11">
        <v>-640</v>
      </c>
      <c r="I97" s="11">
        <f>-321-H97</f>
        <v>319</v>
      </c>
      <c r="J97" s="11">
        <f>-533-I97-H97</f>
        <v>-212</v>
      </c>
      <c r="K97" s="11">
        <f t="shared" ref="K97:K104" si="22">L97-H97-I97-J97</f>
        <v>98</v>
      </c>
      <c r="L97" s="22">
        <v>-435</v>
      </c>
      <c r="M97" s="11">
        <v>-489</v>
      </c>
      <c r="N97" s="11">
        <f>-295-M97</f>
        <v>194</v>
      </c>
      <c r="O97" s="11">
        <f>-312-N97-M97</f>
        <v>-17</v>
      </c>
      <c r="P97" s="11">
        <f t="shared" ref="P97:P104" si="23">Q97-M97-N97-O97</f>
        <v>423</v>
      </c>
      <c r="Q97" s="22">
        <v>111</v>
      </c>
      <c r="R97" s="11">
        <v>-893</v>
      </c>
      <c r="S97" s="11">
        <f>-492-R97</f>
        <v>401</v>
      </c>
      <c r="T97" s="11">
        <f>-538-S97-R97</f>
        <v>-46</v>
      </c>
      <c r="U97" s="11">
        <f t="shared" ref="U97:U104" si="24">V97-T97-S97-R97</f>
        <v>672</v>
      </c>
      <c r="V97" s="22">
        <v>134</v>
      </c>
      <c r="W97" s="11">
        <v>-795</v>
      </c>
      <c r="X97" s="11">
        <f>-391-W97</f>
        <v>404</v>
      </c>
      <c r="Y97" s="11">
        <f>-668-X97-W97</f>
        <v>-277</v>
      </c>
      <c r="Z97" s="11"/>
      <c r="AA97" s="23"/>
    </row>
    <row r="98" spans="2:41" x14ac:dyDescent="0.2">
      <c r="B98" s="7" t="s">
        <v>114</v>
      </c>
      <c r="C98" s="11">
        <v>-633</v>
      </c>
      <c r="D98" s="11">
        <f>920-(-633)</f>
        <v>1553</v>
      </c>
      <c r="E98" s="11">
        <f>(-1718)-D98-C98</f>
        <v>-2638</v>
      </c>
      <c r="F98" s="11">
        <f t="shared" si="21"/>
        <v>61</v>
      </c>
      <c r="G98" s="22">
        <v>-1657</v>
      </c>
      <c r="H98" s="11">
        <v>-2519</v>
      </c>
      <c r="I98" s="11">
        <f>-2191-H98</f>
        <v>328</v>
      </c>
      <c r="J98" s="11">
        <f>-3871-I98-H98</f>
        <v>-1680</v>
      </c>
      <c r="K98" s="11">
        <f t="shared" si="22"/>
        <v>-1532</v>
      </c>
      <c r="L98" s="22">
        <v>-5403</v>
      </c>
      <c r="M98" s="11">
        <v>-3226</v>
      </c>
      <c r="N98" s="11">
        <f>-4009-M98</f>
        <v>-783</v>
      </c>
      <c r="O98" s="11">
        <f>-3748-N98-M98</f>
        <v>261</v>
      </c>
      <c r="P98" s="11">
        <f t="shared" si="23"/>
        <v>918</v>
      </c>
      <c r="Q98" s="22">
        <v>-2830</v>
      </c>
      <c r="R98" s="11">
        <v>-457</v>
      </c>
      <c r="S98" s="11">
        <f>1751-R98</f>
        <v>2208</v>
      </c>
      <c r="T98" s="11">
        <f>2131-S98-R98</f>
        <v>380</v>
      </c>
      <c r="U98" s="11">
        <f t="shared" si="24"/>
        <v>2006</v>
      </c>
      <c r="V98" s="22">
        <v>4137</v>
      </c>
      <c r="W98" s="11">
        <v>-1452</v>
      </c>
      <c r="X98" s="11">
        <f>-214-W98</f>
        <v>1238</v>
      </c>
      <c r="Y98" s="11">
        <f>-1111-X98-W98</f>
        <v>-897</v>
      </c>
      <c r="Z98" s="11"/>
      <c r="AA98" s="23"/>
    </row>
    <row r="99" spans="2:41" x14ac:dyDescent="0.2">
      <c r="B99" s="7" t="s">
        <v>115</v>
      </c>
      <c r="C99" s="11">
        <v>62</v>
      </c>
      <c r="D99" s="11">
        <f>(-126)-62</f>
        <v>-188</v>
      </c>
      <c r="E99" s="11">
        <f>12-D99-C99</f>
        <v>138</v>
      </c>
      <c r="F99" s="11">
        <f t="shared" si="21"/>
        <v>31</v>
      </c>
      <c r="G99" s="22">
        <v>43</v>
      </c>
      <c r="H99" s="11">
        <v>-277</v>
      </c>
      <c r="I99" s="11">
        <f>-574-H99</f>
        <v>-297</v>
      </c>
      <c r="J99" s="11">
        <f>-375-I99-H99</f>
        <v>199</v>
      </c>
      <c r="K99" s="11">
        <f t="shared" si="22"/>
        <v>45</v>
      </c>
      <c r="L99" s="22">
        <v>-330</v>
      </c>
      <c r="M99" s="11">
        <v>-589</v>
      </c>
      <c r="N99" s="11">
        <f>-668-M99</f>
        <v>-79</v>
      </c>
      <c r="O99" s="11">
        <f>-568-N99-M99</f>
        <v>100</v>
      </c>
      <c r="P99" s="11">
        <f t="shared" si="23"/>
        <v>257</v>
      </c>
      <c r="Q99" s="22">
        <v>-311</v>
      </c>
      <c r="R99" s="11">
        <v>-60</v>
      </c>
      <c r="S99" s="11">
        <f>-392-R99</f>
        <v>-332</v>
      </c>
      <c r="T99" s="11">
        <f>-365-S99-R99</f>
        <v>27</v>
      </c>
      <c r="U99" s="11">
        <f t="shared" si="24"/>
        <v>181</v>
      </c>
      <c r="V99" s="22">
        <v>-184</v>
      </c>
      <c r="W99" s="11">
        <v>-113</v>
      </c>
      <c r="X99" s="11">
        <f>-339-W99</f>
        <v>-226</v>
      </c>
      <c r="Y99" s="11">
        <f>19-X99-W99</f>
        <v>358</v>
      </c>
      <c r="Z99" s="11"/>
      <c r="AA99" s="23"/>
    </row>
    <row r="100" spans="2:41" x14ac:dyDescent="0.2">
      <c r="B100" s="7" t="s">
        <v>116</v>
      </c>
      <c r="C100" s="11">
        <v>3274</v>
      </c>
      <c r="D100" s="11">
        <f>5673-3274</f>
        <v>2399</v>
      </c>
      <c r="E100" s="11">
        <f>6555-D100-C100</f>
        <v>882</v>
      </c>
      <c r="F100" s="11">
        <f t="shared" si="21"/>
        <v>-1437</v>
      </c>
      <c r="G100" s="22">
        <v>5118</v>
      </c>
      <c r="H100" s="11">
        <v>3013</v>
      </c>
      <c r="I100" s="11">
        <f>1658-H100</f>
        <v>-1355</v>
      </c>
      <c r="J100" s="11">
        <f>1918-I100-H100</f>
        <v>260</v>
      </c>
      <c r="K100" s="11">
        <f t="shared" si="22"/>
        <v>483</v>
      </c>
      <c r="L100" s="22">
        <v>2401</v>
      </c>
      <c r="M100" s="11">
        <v>1744</v>
      </c>
      <c r="N100" s="11">
        <f>1079-M100</f>
        <v>-665</v>
      </c>
      <c r="O100" s="11">
        <f>-1568-N100-M100</f>
        <v>-2647</v>
      </c>
      <c r="P100" s="11">
        <f t="shared" si="23"/>
        <v>-1009</v>
      </c>
      <c r="Q100" s="22">
        <v>-2577</v>
      </c>
      <c r="R100" s="11">
        <v>1158</v>
      </c>
      <c r="S100" s="11">
        <f>929-R100</f>
        <v>-229</v>
      </c>
      <c r="T100" s="11">
        <f>187-S100-R100</f>
        <v>-742</v>
      </c>
      <c r="U100" s="11">
        <f t="shared" si="24"/>
        <v>-1598</v>
      </c>
      <c r="V100" s="22">
        <v>-1411</v>
      </c>
      <c r="W100" s="11">
        <v>2511</v>
      </c>
      <c r="X100" s="11">
        <f>1628-W100</f>
        <v>-883</v>
      </c>
      <c r="Y100" s="11">
        <f>1963-X100-W100</f>
        <v>335</v>
      </c>
      <c r="Z100" s="11"/>
      <c r="AA100" s="23"/>
    </row>
    <row r="101" spans="2:41" x14ac:dyDescent="0.2">
      <c r="B101" s="7" t="s">
        <v>117</v>
      </c>
      <c r="C101" s="11">
        <v>71</v>
      </c>
      <c r="D101" s="11">
        <f>397-71</f>
        <v>326</v>
      </c>
      <c r="E101" s="11">
        <f>549-D101-C101</f>
        <v>152</v>
      </c>
      <c r="F101" s="11">
        <f t="shared" si="21"/>
        <v>153</v>
      </c>
      <c r="G101" s="22">
        <v>702</v>
      </c>
      <c r="H101" s="11">
        <v>586</v>
      </c>
      <c r="I101" s="11">
        <f>671-H101</f>
        <v>85</v>
      </c>
      <c r="J101" s="11">
        <f>672-I101-H101</f>
        <v>1</v>
      </c>
      <c r="K101" s="11">
        <f t="shared" si="22"/>
        <v>103</v>
      </c>
      <c r="L101" s="22">
        <v>775</v>
      </c>
      <c r="M101" s="11">
        <v>79</v>
      </c>
      <c r="N101" s="11">
        <f>-57-M101</f>
        <v>-136</v>
      </c>
      <c r="O101" s="11">
        <f>-413-N101-M101</f>
        <v>-356</v>
      </c>
      <c r="P101" s="11">
        <f t="shared" si="23"/>
        <v>-113</v>
      </c>
      <c r="Q101" s="22">
        <v>-526</v>
      </c>
      <c r="R101" s="11">
        <v>57</v>
      </c>
      <c r="S101" s="11">
        <f>10-R101</f>
        <v>-47</v>
      </c>
      <c r="T101" s="11">
        <f>-276-S101-R101</f>
        <v>-286</v>
      </c>
      <c r="U101" s="11">
        <f t="shared" si="24"/>
        <v>-42</v>
      </c>
      <c r="V101" s="22">
        <v>-318</v>
      </c>
      <c r="W101" s="11">
        <v>81</v>
      </c>
      <c r="X101" s="11">
        <f>-31-W101</f>
        <v>-112</v>
      </c>
      <c r="Y101" s="11">
        <f>-188-X101-W101</f>
        <v>-157</v>
      </c>
      <c r="Z101" s="11"/>
      <c r="AA101" s="23"/>
    </row>
    <row r="102" spans="2:41" x14ac:dyDescent="0.2">
      <c r="B102" s="7" t="s">
        <v>118</v>
      </c>
      <c r="C102" s="11">
        <v>594</v>
      </c>
      <c r="D102" s="11">
        <f>447-594</f>
        <v>-147</v>
      </c>
      <c r="E102" s="11">
        <f>530-D102-C102</f>
        <v>83</v>
      </c>
      <c r="F102" s="11">
        <f t="shared" si="21"/>
        <v>-679</v>
      </c>
      <c r="G102" s="22">
        <v>-149</v>
      </c>
      <c r="H102" s="11">
        <v>1138</v>
      </c>
      <c r="I102" s="11">
        <f>154-H102</f>
        <v>-984</v>
      </c>
      <c r="J102" s="11">
        <f>-10-I102-H102</f>
        <v>-164</v>
      </c>
      <c r="K102" s="11">
        <f t="shared" si="22"/>
        <v>-41</v>
      </c>
      <c r="L102" s="22">
        <v>-51</v>
      </c>
      <c r="M102" s="11">
        <v>1121</v>
      </c>
      <c r="N102" s="11">
        <f>61-M102</f>
        <v>-1060</v>
      </c>
      <c r="O102" s="11">
        <f>30-N102-M102</f>
        <v>-31</v>
      </c>
      <c r="P102" s="11">
        <f t="shared" si="23"/>
        <v>-137</v>
      </c>
      <c r="Q102" s="22">
        <v>-107</v>
      </c>
      <c r="R102" s="11">
        <v>1004</v>
      </c>
      <c r="S102" s="11">
        <f>-32-R102</f>
        <v>-1036</v>
      </c>
      <c r="T102" s="11">
        <f>252-S102-R102</f>
        <v>284</v>
      </c>
      <c r="U102" s="11">
        <f t="shared" si="24"/>
        <v>-277</v>
      </c>
      <c r="V102" s="22">
        <v>-25</v>
      </c>
      <c r="W102" s="11">
        <v>610</v>
      </c>
      <c r="X102" s="11">
        <f>14-W102</f>
        <v>-596</v>
      </c>
      <c r="Y102" s="11">
        <f>69-X102-W102</f>
        <v>55</v>
      </c>
      <c r="Z102" s="11"/>
      <c r="AA102" s="23"/>
    </row>
    <row r="103" spans="2:41" x14ac:dyDescent="0.2">
      <c r="B103" s="7" t="s">
        <v>119</v>
      </c>
      <c r="C103" s="11">
        <v>-68</v>
      </c>
      <c r="D103" s="11">
        <f>13-(-68)</f>
        <v>81</v>
      </c>
      <c r="E103" s="11">
        <f>(-86)-D103-C103</f>
        <v>-99</v>
      </c>
      <c r="F103" s="11">
        <f t="shared" si="21"/>
        <v>-483</v>
      </c>
      <c r="G103" s="22">
        <v>-569</v>
      </c>
      <c r="H103" s="11">
        <v>-87</v>
      </c>
      <c r="I103" s="11">
        <f>-116-H103</f>
        <v>-29</v>
      </c>
      <c r="J103" s="11">
        <f>-73-I103-H103</f>
        <v>43</v>
      </c>
      <c r="K103" s="11">
        <f t="shared" si="22"/>
        <v>-203</v>
      </c>
      <c r="L103" s="22">
        <v>-276</v>
      </c>
      <c r="M103" s="11">
        <v>-44</v>
      </c>
      <c r="N103" s="11">
        <f>-95-M103</f>
        <v>-51</v>
      </c>
      <c r="O103" s="11">
        <f>129-N103-M103</f>
        <v>224</v>
      </c>
      <c r="P103" s="11">
        <f t="shared" si="23"/>
        <v>9</v>
      </c>
      <c r="Q103" s="22">
        <v>138</v>
      </c>
      <c r="R103" s="11">
        <v>-59</v>
      </c>
      <c r="S103" s="11">
        <f>-48-R103</f>
        <v>11</v>
      </c>
      <c r="T103" s="11">
        <f>-310-S103-R103</f>
        <v>-262</v>
      </c>
      <c r="U103" s="11">
        <f t="shared" si="24"/>
        <v>65</v>
      </c>
      <c r="V103" s="22">
        <v>-245</v>
      </c>
      <c r="W103" s="11">
        <v>83</v>
      </c>
      <c r="X103" s="11">
        <f>159-W103</f>
        <v>76</v>
      </c>
      <c r="Y103" s="11">
        <f>170-X103-W103</f>
        <v>11</v>
      </c>
      <c r="Z103" s="11"/>
      <c r="AA103" s="23"/>
    </row>
    <row r="104" spans="2:41" x14ac:dyDescent="0.2">
      <c r="B104" s="7" t="s">
        <v>120</v>
      </c>
      <c r="C104" s="11">
        <v>31</v>
      </c>
      <c r="D104" s="11">
        <f>28-31</f>
        <v>-3</v>
      </c>
      <c r="E104" s="11">
        <f>57-D104-C104</f>
        <v>29</v>
      </c>
      <c r="F104" s="11">
        <f t="shared" si="21"/>
        <v>64</v>
      </c>
      <c r="G104" s="22">
        <v>121</v>
      </c>
      <c r="H104" s="11">
        <v>102</v>
      </c>
      <c r="I104" s="11">
        <f>74-H104</f>
        <v>-28</v>
      </c>
      <c r="J104" s="11">
        <f>137-I104-H104</f>
        <v>63</v>
      </c>
      <c r="K104" s="11">
        <f t="shared" si="22"/>
        <v>59</v>
      </c>
      <c r="L104" s="22">
        <v>196</v>
      </c>
      <c r="M104" s="11">
        <v>120</v>
      </c>
      <c r="N104" s="11">
        <f>93-M104</f>
        <v>-27</v>
      </c>
      <c r="O104" s="11">
        <f>226-N104-M104</f>
        <v>133</v>
      </c>
      <c r="P104" s="11">
        <f t="shared" si="23"/>
        <v>45</v>
      </c>
      <c r="Q104" s="22">
        <v>271</v>
      </c>
      <c r="R104" s="11">
        <v>74</v>
      </c>
      <c r="S104" s="11">
        <f>144-R104</f>
        <v>70</v>
      </c>
      <c r="T104" s="11">
        <f>301-S104-R104</f>
        <v>157</v>
      </c>
      <c r="U104" s="11">
        <f t="shared" si="24"/>
        <v>13</v>
      </c>
      <c r="V104" s="22">
        <v>314</v>
      </c>
      <c r="W104" s="11">
        <v>11</v>
      </c>
      <c r="X104" s="11">
        <f>-60-W104</f>
        <v>-71</v>
      </c>
      <c r="Y104" s="11">
        <f>-4-X104-W104</f>
        <v>56</v>
      </c>
      <c r="Z104" s="11"/>
      <c r="AA104" s="23"/>
    </row>
    <row r="105" spans="2:41" x14ac:dyDescent="0.2">
      <c r="B105" s="16" t="s">
        <v>110</v>
      </c>
      <c r="C105" s="21">
        <f t="shared" ref="C105:Y105" si="25">SUM(C92:C104)</f>
        <v>5737</v>
      </c>
      <c r="D105" s="21">
        <f t="shared" si="25"/>
        <v>9092</v>
      </c>
      <c r="E105" s="21">
        <f t="shared" si="25"/>
        <v>2586</v>
      </c>
      <c r="F105" s="21">
        <f t="shared" si="25"/>
        <v>1424</v>
      </c>
      <c r="G105" s="21">
        <f t="shared" si="25"/>
        <v>18839</v>
      </c>
      <c r="H105" s="21">
        <f t="shared" si="25"/>
        <v>6310</v>
      </c>
      <c r="I105" s="21">
        <f t="shared" si="25"/>
        <v>3637</v>
      </c>
      <c r="J105" s="21">
        <f t="shared" si="25"/>
        <v>3439</v>
      </c>
      <c r="K105" s="21">
        <f t="shared" si="25"/>
        <v>3185</v>
      </c>
      <c r="L105" s="21">
        <f t="shared" si="25"/>
        <v>16571</v>
      </c>
      <c r="M105" s="21">
        <f t="shared" si="25"/>
        <v>3789</v>
      </c>
      <c r="N105" s="21">
        <f t="shared" si="25"/>
        <v>3393</v>
      </c>
      <c r="O105" s="21">
        <f t="shared" si="25"/>
        <v>2839</v>
      </c>
      <c r="P105" s="21">
        <f t="shared" si="25"/>
        <v>4594</v>
      </c>
      <c r="Q105" s="21">
        <f t="shared" si="25"/>
        <v>14615</v>
      </c>
      <c r="R105" s="21">
        <f t="shared" si="25"/>
        <v>5614</v>
      </c>
      <c r="S105" s="21">
        <f t="shared" si="25"/>
        <v>6591</v>
      </c>
      <c r="T105" s="21">
        <f t="shared" si="25"/>
        <v>4234</v>
      </c>
      <c r="U105" s="21">
        <f t="shared" si="25"/>
        <v>4733</v>
      </c>
      <c r="V105" s="21">
        <f t="shared" si="25"/>
        <v>21172</v>
      </c>
      <c r="W105" s="21">
        <f t="shared" si="25"/>
        <v>5497</v>
      </c>
      <c r="X105" s="21">
        <f t="shared" si="25"/>
        <v>5409</v>
      </c>
      <c r="Y105" s="21">
        <f t="shared" si="25"/>
        <v>4233</v>
      </c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</row>
    <row r="106" spans="2:41" x14ac:dyDescent="0.2">
      <c r="B106" s="1"/>
      <c r="C106" s="1"/>
      <c r="D106" s="36"/>
      <c r="E106" s="36"/>
      <c r="F106" s="36"/>
      <c r="G106" s="1"/>
      <c r="H106" s="1"/>
      <c r="I106" s="36"/>
      <c r="J106" s="36"/>
      <c r="K106" s="1"/>
      <c r="L106" s="1"/>
      <c r="M106" s="1"/>
      <c r="N106" s="36"/>
      <c r="O106" s="36"/>
      <c r="P106" s="36"/>
      <c r="Q106" s="1"/>
      <c r="R106" s="1"/>
      <c r="S106" s="36"/>
      <c r="T106" s="36"/>
      <c r="U106" s="36"/>
      <c r="V106" s="1"/>
      <c r="W106" s="1"/>
      <c r="X106" s="36"/>
      <c r="Y106" s="36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2:41" x14ac:dyDescent="0.2">
      <c r="B107" s="16" t="s">
        <v>122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</row>
    <row r="108" spans="2:41" x14ac:dyDescent="0.2">
      <c r="B108" s="7" t="s">
        <v>123</v>
      </c>
      <c r="C108" s="11">
        <v>-586</v>
      </c>
      <c r="D108" s="11">
        <f>(-1032)-(-586)</f>
        <v>-446</v>
      </c>
      <c r="E108" s="11">
        <f>(-1503)-D108-C108</f>
        <v>-471</v>
      </c>
      <c r="F108" s="11">
        <f>G108-C108-D108-E108</f>
        <v>-960</v>
      </c>
      <c r="G108" s="22">
        <v>-2463</v>
      </c>
      <c r="H108" s="11">
        <v>-524</v>
      </c>
      <c r="I108" s="11">
        <f>-1042-H108</f>
        <v>-518</v>
      </c>
      <c r="J108" s="11">
        <f>-1737-I108-H108</f>
        <v>-695</v>
      </c>
      <c r="K108" s="11">
        <f>L108-H108-I108-J108</f>
        <v>-829</v>
      </c>
      <c r="L108" s="22">
        <v>-2566</v>
      </c>
      <c r="M108" s="11">
        <v>-704</v>
      </c>
      <c r="N108" s="11">
        <f>-1447-M108</f>
        <v>-743</v>
      </c>
      <c r="O108" s="11">
        <f>-2216-N108-M108</f>
        <v>-769</v>
      </c>
      <c r="P108" s="11">
        <f>Q108-M108-N108-O108</f>
        <v>-903</v>
      </c>
      <c r="Q108" s="22">
        <v>-3119</v>
      </c>
      <c r="R108" s="11">
        <v>-905</v>
      </c>
      <c r="S108" s="11">
        <f>-1697-R108</f>
        <v>-792</v>
      </c>
      <c r="T108" s="11">
        <f>-2368-S108-R108</f>
        <v>-671</v>
      </c>
      <c r="U108" s="11">
        <f>V108-T108-S108-R108</f>
        <v>-858</v>
      </c>
      <c r="V108" s="22">
        <v>-3226</v>
      </c>
      <c r="W108" s="11">
        <v>-847</v>
      </c>
      <c r="X108" s="11">
        <f>-1566-W108</f>
        <v>-719</v>
      </c>
      <c r="Y108" s="11">
        <f>-2384-X108-W108</f>
        <v>-818</v>
      </c>
      <c r="Z108" s="11"/>
      <c r="AA108" s="34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2:41" x14ac:dyDescent="0.2">
      <c r="B109" s="7" t="s">
        <v>143</v>
      </c>
      <c r="C109" s="11"/>
      <c r="D109" s="11"/>
      <c r="E109" s="11"/>
      <c r="F109" s="11">
        <v>-7780</v>
      </c>
      <c r="G109" s="22">
        <v>-7780</v>
      </c>
      <c r="H109" s="11"/>
      <c r="I109" s="11">
        <v>-416</v>
      </c>
      <c r="J109" s="11">
        <f>-416-I109-H109</f>
        <v>0</v>
      </c>
      <c r="K109" s="11">
        <f>L109-H109-I109-J109</f>
        <v>-5</v>
      </c>
      <c r="L109" s="22">
        <v>-421</v>
      </c>
      <c r="M109" s="11"/>
      <c r="N109" s="11"/>
      <c r="O109" s="11"/>
      <c r="P109" s="11"/>
      <c r="Q109" s="22"/>
      <c r="R109" s="11"/>
      <c r="S109" s="11">
        <v>-215</v>
      </c>
      <c r="T109" s="11">
        <f>-795-S109-R109</f>
        <v>-580</v>
      </c>
      <c r="U109" s="11">
        <f>V109-T109-S109-R109</f>
        <v>-719</v>
      </c>
      <c r="V109" s="22">
        <v>-1514</v>
      </c>
      <c r="W109" s="11"/>
      <c r="X109" s="11">
        <f>-17570-W109</f>
        <v>-17570</v>
      </c>
      <c r="Y109" s="11">
        <f>-17613-X109-W109</f>
        <v>-43</v>
      </c>
      <c r="Z109" s="11"/>
      <c r="AA109" s="34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2:41" x14ac:dyDescent="0.2">
      <c r="B110" s="7" t="s">
        <v>124</v>
      </c>
      <c r="C110" s="11">
        <v>8</v>
      </c>
      <c r="D110" s="11">
        <f>12-8</f>
        <v>4</v>
      </c>
      <c r="E110" s="11">
        <f>55-D110-C110</f>
        <v>43</v>
      </c>
      <c r="F110" s="11">
        <f>G110-C110-D110-E110</f>
        <v>-55</v>
      </c>
      <c r="G110" s="22"/>
      <c r="H110" s="11"/>
      <c r="I110" s="11"/>
      <c r="J110" s="11"/>
      <c r="K110" s="11"/>
      <c r="L110" s="22"/>
      <c r="M110" s="11"/>
      <c r="N110" s="11"/>
      <c r="O110" s="11"/>
      <c r="P110" s="11"/>
      <c r="Q110" s="22"/>
      <c r="R110" s="11"/>
      <c r="S110" s="11"/>
      <c r="T110" s="11"/>
      <c r="U110" s="11"/>
      <c r="V110" s="22"/>
      <c r="W110" s="11"/>
      <c r="X110" s="11"/>
      <c r="Y110" s="11"/>
      <c r="Z110" s="11"/>
      <c r="AA110" s="34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2:41" x14ac:dyDescent="0.2">
      <c r="B111" s="7" t="s">
        <v>125</v>
      </c>
      <c r="C111" s="11">
        <v>0</v>
      </c>
      <c r="D111" s="11">
        <f>0-0</f>
        <v>0</v>
      </c>
      <c r="E111" s="11">
        <f>(-3)-D111-C111</f>
        <v>-3</v>
      </c>
      <c r="F111" s="11">
        <f>G111-C111-D111-E111</f>
        <v>76</v>
      </c>
      <c r="G111" s="22">
        <v>73</v>
      </c>
      <c r="H111" s="11">
        <v>-4</v>
      </c>
      <c r="I111" s="11">
        <f>0-H111</f>
        <v>4</v>
      </c>
      <c r="J111" s="11">
        <f>21-I111-H111</f>
        <v>21</v>
      </c>
      <c r="K111" s="11">
        <f>L111-H111-I111-J111</f>
        <v>-3</v>
      </c>
      <c r="L111" s="22">
        <v>18</v>
      </c>
      <c r="M111" s="11">
        <v>3</v>
      </c>
      <c r="N111" s="11">
        <f>-14-M111</f>
        <v>-17</v>
      </c>
      <c r="O111" s="11">
        <f>-29-N111-M111</f>
        <v>-15</v>
      </c>
      <c r="P111" s="11">
        <f>Q111-M111-N111-O111</f>
        <v>8</v>
      </c>
      <c r="Q111" s="22">
        <v>-21</v>
      </c>
      <c r="R111" s="11">
        <v>2</v>
      </c>
      <c r="S111" s="11">
        <f>10-R111</f>
        <v>8</v>
      </c>
      <c r="T111" s="11">
        <f>15-S111-R111</f>
        <v>5</v>
      </c>
      <c r="U111" s="11">
        <f>V111-T111-S111-R111</f>
        <v>-4</v>
      </c>
      <c r="V111" s="22">
        <v>11</v>
      </c>
      <c r="W111" s="11">
        <v>17</v>
      </c>
      <c r="X111" s="11">
        <f>38-W111</f>
        <v>21</v>
      </c>
      <c r="Y111" s="11">
        <f>85-X111-W111</f>
        <v>47</v>
      </c>
      <c r="Z111" s="11"/>
      <c r="AA111" s="34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2:41" x14ac:dyDescent="0.2">
      <c r="B112" s="16" t="s">
        <v>126</v>
      </c>
      <c r="C112" s="21">
        <f t="shared" ref="C112:Y112" si="26">SUM(C108:C111)</f>
        <v>-578</v>
      </c>
      <c r="D112" s="21">
        <f t="shared" si="26"/>
        <v>-442</v>
      </c>
      <c r="E112" s="21">
        <f t="shared" si="26"/>
        <v>-431</v>
      </c>
      <c r="F112" s="21">
        <f t="shared" si="26"/>
        <v>-8719</v>
      </c>
      <c r="G112" s="21">
        <f t="shared" si="26"/>
        <v>-10170</v>
      </c>
      <c r="H112" s="21">
        <f t="shared" si="26"/>
        <v>-528</v>
      </c>
      <c r="I112" s="21">
        <f t="shared" si="26"/>
        <v>-930</v>
      </c>
      <c r="J112" s="21">
        <f t="shared" si="26"/>
        <v>-674</v>
      </c>
      <c r="K112" s="21">
        <f t="shared" si="26"/>
        <v>-837</v>
      </c>
      <c r="L112" s="21">
        <f t="shared" si="26"/>
        <v>-2969</v>
      </c>
      <c r="M112" s="21">
        <f t="shared" si="26"/>
        <v>-701</v>
      </c>
      <c r="N112" s="21">
        <f t="shared" si="26"/>
        <v>-760</v>
      </c>
      <c r="O112" s="21">
        <f t="shared" si="26"/>
        <v>-784</v>
      </c>
      <c r="P112" s="21">
        <f t="shared" si="26"/>
        <v>-895</v>
      </c>
      <c r="Q112" s="21">
        <f t="shared" si="26"/>
        <v>-3140</v>
      </c>
      <c r="R112" s="21">
        <f t="shared" si="26"/>
        <v>-903</v>
      </c>
      <c r="S112" s="21">
        <f t="shared" si="26"/>
        <v>-999</v>
      </c>
      <c r="T112" s="21">
        <f t="shared" si="26"/>
        <v>-1246</v>
      </c>
      <c r="U112" s="21">
        <f t="shared" si="26"/>
        <v>-1581</v>
      </c>
      <c r="V112" s="21">
        <f t="shared" si="26"/>
        <v>-4729</v>
      </c>
      <c r="W112" s="21">
        <f t="shared" si="26"/>
        <v>-830</v>
      </c>
      <c r="X112" s="21">
        <f t="shared" si="26"/>
        <v>-18268</v>
      </c>
      <c r="Y112" s="21">
        <f t="shared" si="26"/>
        <v>-814</v>
      </c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</row>
    <row r="113" spans="2:41" x14ac:dyDescent="0.2">
      <c r="B113" s="7"/>
      <c r="C113" s="1"/>
      <c r="D113" s="36"/>
      <c r="E113" s="1"/>
      <c r="F113" s="36"/>
      <c r="G113" s="1"/>
      <c r="H113" s="36"/>
      <c r="I113" s="36"/>
      <c r="J113" s="36"/>
      <c r="K113" s="36"/>
      <c r="L113" s="1"/>
      <c r="M113" s="36"/>
      <c r="N113" s="1"/>
      <c r="O113" s="36"/>
      <c r="P113" s="36"/>
      <c r="Q113" s="1"/>
      <c r="R113" s="1"/>
      <c r="S113" s="36"/>
      <c r="T113" s="36"/>
      <c r="U113" s="1"/>
      <c r="V113" s="1"/>
      <c r="W113" s="1"/>
      <c r="X113" s="36"/>
      <c r="Y113" s="36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2:41" x14ac:dyDescent="0.2">
      <c r="B114" s="16" t="s">
        <v>127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</row>
    <row r="115" spans="2:41" x14ac:dyDescent="0.2">
      <c r="B115" s="7" t="s">
        <v>144</v>
      </c>
      <c r="C115" s="11">
        <v>-974</v>
      </c>
      <c r="D115" s="11">
        <f>(-974)-(-974)</f>
        <v>0</v>
      </c>
      <c r="E115" s="11">
        <f>(-974)-D115-C115</f>
        <v>0</v>
      </c>
      <c r="F115" s="11">
        <f t="shared" ref="F115:F121" si="27">G115-C115-D115-E115</f>
        <v>0</v>
      </c>
      <c r="G115" s="22">
        <v>-974</v>
      </c>
      <c r="H115" s="11"/>
      <c r="I115" s="11"/>
      <c r="J115" s="11"/>
      <c r="K115" s="11">
        <f t="shared" ref="K115:K121" si="28">L115-H115-I115-J115</f>
        <v>1035</v>
      </c>
      <c r="L115" s="22">
        <v>1035</v>
      </c>
      <c r="M115" s="11">
        <v>-1035</v>
      </c>
      <c r="N115" s="11">
        <f>-496-M115</f>
        <v>539</v>
      </c>
      <c r="O115" s="11">
        <f>-1035-N115-M115</f>
        <v>-539</v>
      </c>
      <c r="P115" s="11">
        <f t="shared" ref="P115:P121" si="29">Q115-M115-N115-O115</f>
        <v>0</v>
      </c>
      <c r="Q115" s="22">
        <v>-1035</v>
      </c>
      <c r="R115" s="11"/>
      <c r="S115" s="11"/>
      <c r="T115" s="11"/>
      <c r="U115" s="11"/>
      <c r="V115" s="22"/>
      <c r="W115" s="11">
        <v>8</v>
      </c>
      <c r="X115" s="11">
        <f>2527-W115</f>
        <v>2519</v>
      </c>
      <c r="Y115" s="11">
        <f>1344-X115-W115</f>
        <v>-1183</v>
      </c>
      <c r="Z115" s="11"/>
      <c r="AA115" s="34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2:41" x14ac:dyDescent="0.2">
      <c r="B116" s="7" t="s">
        <v>128</v>
      </c>
      <c r="C116" s="11">
        <v>4960</v>
      </c>
      <c r="D116" s="11">
        <f>4960-4960</f>
        <v>0</v>
      </c>
      <c r="E116" s="11">
        <f>4960-D116-C116</f>
        <v>0</v>
      </c>
      <c r="F116" s="11">
        <f t="shared" si="27"/>
        <v>2973</v>
      </c>
      <c r="G116" s="22">
        <v>7933</v>
      </c>
      <c r="H116" s="11"/>
      <c r="I116" s="11"/>
      <c r="J116" s="11">
        <f>2979-I116-H116</f>
        <v>2979</v>
      </c>
      <c r="K116" s="11">
        <f t="shared" si="28"/>
        <v>0</v>
      </c>
      <c r="L116" s="22">
        <v>2979</v>
      </c>
      <c r="M116" s="11">
        <v>3957</v>
      </c>
      <c r="N116" s="11">
        <f>3957-M116</f>
        <v>0</v>
      </c>
      <c r="O116" s="11">
        <f>6942-N116-M116</f>
        <v>2985</v>
      </c>
      <c r="P116" s="11">
        <f t="shared" si="29"/>
        <v>0</v>
      </c>
      <c r="Q116" s="22">
        <v>6942</v>
      </c>
      <c r="R116" s="11"/>
      <c r="S116" s="11"/>
      <c r="T116" s="11"/>
      <c r="U116" s="11">
        <f t="shared" ref="U116:U121" si="30">V116-T116-S116-R116</f>
        <v>1995</v>
      </c>
      <c r="V116" s="22">
        <v>1995</v>
      </c>
      <c r="W116" s="11"/>
      <c r="X116" s="11">
        <f>9952-W116</f>
        <v>9952</v>
      </c>
      <c r="Y116" s="11">
        <f>9983-X116-W116</f>
        <v>31</v>
      </c>
      <c r="Z116" s="11"/>
      <c r="AA116" s="34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2:41" x14ac:dyDescent="0.2">
      <c r="B117" s="7" t="s">
        <v>141</v>
      </c>
      <c r="C117" s="11">
        <v>-27</v>
      </c>
      <c r="D117" s="11">
        <f>(-1806)-(-27)</f>
        <v>-1779</v>
      </c>
      <c r="E117" s="11">
        <f>(-1836)-D117-C117</f>
        <v>-30</v>
      </c>
      <c r="F117" s="11">
        <f t="shared" si="27"/>
        <v>-1036</v>
      </c>
      <c r="G117" s="22">
        <v>-2872</v>
      </c>
      <c r="H117" s="11">
        <v>-1390</v>
      </c>
      <c r="I117" s="11">
        <f>-1434-H117</f>
        <v>-44</v>
      </c>
      <c r="J117" s="11">
        <f>-1480-I117-H117</f>
        <v>-46</v>
      </c>
      <c r="K117" s="11">
        <f t="shared" si="28"/>
        <v>-52</v>
      </c>
      <c r="L117" s="22">
        <v>-1532</v>
      </c>
      <c r="M117" s="11">
        <v>-1054</v>
      </c>
      <c r="N117" s="11">
        <f>-2366-M117</f>
        <v>-1312</v>
      </c>
      <c r="O117" s="11">
        <f>-2423-N117-M117</f>
        <v>-57</v>
      </c>
      <c r="P117" s="11">
        <f t="shared" si="29"/>
        <v>-68</v>
      </c>
      <c r="Q117" s="22">
        <v>-2491</v>
      </c>
      <c r="R117" s="11">
        <v>-1063</v>
      </c>
      <c r="S117" s="11">
        <f>-1130-R117</f>
        <v>-67</v>
      </c>
      <c r="T117" s="11">
        <f>-1200-S117-R117</f>
        <v>-70</v>
      </c>
      <c r="U117" s="11">
        <f t="shared" si="30"/>
        <v>-71</v>
      </c>
      <c r="V117" s="22">
        <v>-1271</v>
      </c>
      <c r="W117" s="11">
        <v>-1172</v>
      </c>
      <c r="X117" s="11">
        <f>-1255-W117</f>
        <v>-83</v>
      </c>
      <c r="Y117" s="11">
        <f>-1355-X117-W117</f>
        <v>-100</v>
      </c>
      <c r="Z117" s="11"/>
      <c r="AA117" s="34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2:41" x14ac:dyDescent="0.2">
      <c r="B118" s="7" t="s">
        <v>129</v>
      </c>
      <c r="C118" s="11">
        <v>-791</v>
      </c>
      <c r="D118" s="11">
        <f>(-791)-(-791)</f>
        <v>0</v>
      </c>
      <c r="E118" s="11">
        <f>(-791)-D118-C118</f>
        <v>0</v>
      </c>
      <c r="F118" s="11">
        <f t="shared" si="27"/>
        <v>0</v>
      </c>
      <c r="G118" s="22">
        <v>-791</v>
      </c>
      <c r="H118" s="11">
        <v>-3788</v>
      </c>
      <c r="I118" s="11">
        <f>-6905-H118</f>
        <v>-3117</v>
      </c>
      <c r="J118" s="11">
        <f>-10374-I118-H118</f>
        <v>-3469</v>
      </c>
      <c r="K118" s="11">
        <f t="shared" si="28"/>
        <v>-4435</v>
      </c>
      <c r="L118" s="22">
        <v>-14809</v>
      </c>
      <c r="M118" s="11">
        <v>-2308</v>
      </c>
      <c r="N118" s="11">
        <f>-3962-M118</f>
        <v>-1654</v>
      </c>
      <c r="O118" s="11">
        <f>-5136-N118-M118</f>
        <v>-1174</v>
      </c>
      <c r="P118" s="11">
        <f t="shared" si="29"/>
        <v>-1560</v>
      </c>
      <c r="Q118" s="22">
        <v>-6696</v>
      </c>
      <c r="R118" s="11">
        <v>-2887</v>
      </c>
      <c r="S118" s="11">
        <f>-4954-R118</f>
        <v>-2067</v>
      </c>
      <c r="T118" s="11">
        <f>-6465-S118-R118</f>
        <v>-1511</v>
      </c>
      <c r="U118" s="11">
        <f t="shared" si="30"/>
        <v>-1486</v>
      </c>
      <c r="V118" s="22">
        <v>-7951</v>
      </c>
      <c r="W118" s="11">
        <v>-649</v>
      </c>
      <c r="X118" s="11">
        <f>-649-W118</f>
        <v>0</v>
      </c>
      <c r="Y118" s="11">
        <f>-649-X118-W118</f>
        <v>0</v>
      </c>
      <c r="Z118" s="11"/>
      <c r="AA118" s="34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2:41" x14ac:dyDescent="0.2">
      <c r="B119" s="7" t="s">
        <v>130</v>
      </c>
      <c r="C119" s="11">
        <v>18</v>
      </c>
      <c r="D119" s="11">
        <f>164-18</f>
        <v>146</v>
      </c>
      <c r="E119" s="11">
        <f>185-D119-C119</f>
        <v>21</v>
      </c>
      <c r="F119" s="11">
        <f t="shared" si="27"/>
        <v>141</v>
      </c>
      <c r="G119" s="22">
        <v>326</v>
      </c>
      <c r="H119" s="11">
        <v>13</v>
      </c>
      <c r="I119" s="11">
        <f>167-H119</f>
        <v>154</v>
      </c>
      <c r="J119" s="11">
        <f>190-I119-H119</f>
        <v>23</v>
      </c>
      <c r="K119" s="11">
        <f t="shared" si="28"/>
        <v>147</v>
      </c>
      <c r="L119" s="22">
        <v>337</v>
      </c>
      <c r="M119" s="11">
        <v>5</v>
      </c>
      <c r="N119" s="11">
        <f>142-M119</f>
        <v>137</v>
      </c>
      <c r="O119" s="11">
        <f>146-N119-M119</f>
        <v>4</v>
      </c>
      <c r="P119" s="11">
        <f t="shared" si="29"/>
        <v>118</v>
      </c>
      <c r="Q119" s="22">
        <v>264</v>
      </c>
      <c r="R119" s="11">
        <v>15</v>
      </c>
      <c r="S119" s="11">
        <f>175-R119</f>
        <v>160</v>
      </c>
      <c r="T119" s="11">
        <f>192-S119-R119</f>
        <v>17</v>
      </c>
      <c r="U119" s="11">
        <f t="shared" si="30"/>
        <v>131</v>
      </c>
      <c r="V119" s="22">
        <v>323</v>
      </c>
      <c r="W119" s="11">
        <v>62</v>
      </c>
      <c r="X119" s="11">
        <f>210-W119</f>
        <v>148</v>
      </c>
      <c r="Y119" s="11">
        <f>231-X119-W119</f>
        <v>21</v>
      </c>
      <c r="Z119" s="11"/>
      <c r="AA119" s="34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2:41" x14ac:dyDescent="0.2">
      <c r="B120" s="7" t="s">
        <v>131</v>
      </c>
      <c r="C120" s="11">
        <v>-1611</v>
      </c>
      <c r="D120" s="11">
        <f>(-3223)-(-1611)</f>
        <v>-1612</v>
      </c>
      <c r="E120" s="11">
        <f>(-4837)-D120-C120</f>
        <v>-1614</v>
      </c>
      <c r="F120" s="11">
        <f t="shared" si="27"/>
        <v>-1614</v>
      </c>
      <c r="G120" s="22">
        <v>-6451</v>
      </c>
      <c r="H120" s="11">
        <v>-1775</v>
      </c>
      <c r="I120" s="11">
        <f>-3526-H120</f>
        <v>-1751</v>
      </c>
      <c r="J120" s="11">
        <f>-5264-I120-H120</f>
        <v>-1738</v>
      </c>
      <c r="K120" s="11">
        <f t="shared" si="28"/>
        <v>-1721</v>
      </c>
      <c r="L120" s="22">
        <v>-6985</v>
      </c>
      <c r="M120" s="11">
        <v>-1962</v>
      </c>
      <c r="N120" s="11">
        <f>-3910-M120</f>
        <v>-1948</v>
      </c>
      <c r="O120" s="11">
        <f>-5856-N120-M120</f>
        <v>-1946</v>
      </c>
      <c r="P120" s="11">
        <f t="shared" si="29"/>
        <v>-1933</v>
      </c>
      <c r="Q120" s="22">
        <v>-7789</v>
      </c>
      <c r="R120" s="11">
        <v>-2118</v>
      </c>
      <c r="S120" s="11">
        <f>-4215-R120</f>
        <v>-2097</v>
      </c>
      <c r="T120" s="11">
        <f>-6304-S120-R120</f>
        <v>-2089</v>
      </c>
      <c r="U120" s="11">
        <f t="shared" si="30"/>
        <v>-2079</v>
      </c>
      <c r="V120" s="22">
        <v>-8383</v>
      </c>
      <c r="W120" s="11">
        <v>-2229</v>
      </c>
      <c r="X120" s="11">
        <f>-4460-W120</f>
        <v>-2231</v>
      </c>
      <c r="Y120" s="11">
        <f>-6694-X120-W120</f>
        <v>-2234</v>
      </c>
      <c r="Z120" s="11"/>
      <c r="AA120" s="34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2:41" x14ac:dyDescent="0.2">
      <c r="B121" s="7" t="s">
        <v>132</v>
      </c>
      <c r="C121" s="11">
        <v>-125</v>
      </c>
      <c r="D121" s="11">
        <f>(-127)-(-125)</f>
        <v>-2</v>
      </c>
      <c r="E121" s="11">
        <f>(-132)-D121-C121</f>
        <v>-5</v>
      </c>
      <c r="F121" s="11">
        <f t="shared" si="27"/>
        <v>-22</v>
      </c>
      <c r="G121" s="22">
        <v>-154</v>
      </c>
      <c r="H121" s="11">
        <v>-130</v>
      </c>
      <c r="I121" s="11">
        <f>-136-H121</f>
        <v>-6</v>
      </c>
      <c r="J121" s="11">
        <f>-160-I121-H121</f>
        <v>-24</v>
      </c>
      <c r="K121" s="11">
        <f t="shared" si="28"/>
        <v>15</v>
      </c>
      <c r="L121" s="22">
        <v>-145</v>
      </c>
      <c r="M121" s="11">
        <v>-182</v>
      </c>
      <c r="N121" s="11">
        <f>-163-M121</f>
        <v>19</v>
      </c>
      <c r="O121" s="11">
        <f>-185-N121-M121</f>
        <v>-22</v>
      </c>
      <c r="P121" s="11">
        <f t="shared" si="29"/>
        <v>-3</v>
      </c>
      <c r="Q121" s="22">
        <v>-188</v>
      </c>
      <c r="R121" s="11">
        <v>-135</v>
      </c>
      <c r="S121" s="11">
        <f>-142-R121</f>
        <v>-7</v>
      </c>
      <c r="T121" s="11">
        <f>-146-S121-R121</f>
        <v>-4</v>
      </c>
      <c r="U121" s="11">
        <f t="shared" si="30"/>
        <v>-10</v>
      </c>
      <c r="V121" s="22">
        <v>-156</v>
      </c>
      <c r="W121" s="11">
        <v>-166</v>
      </c>
      <c r="X121" s="11">
        <f>-212-W121</f>
        <v>-46</v>
      </c>
      <c r="Y121" s="11">
        <f>-223-X121-W121</f>
        <v>-11</v>
      </c>
      <c r="Z121" s="11"/>
      <c r="AA121" s="34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2:41" x14ac:dyDescent="0.2">
      <c r="B122" s="16" t="s">
        <v>133</v>
      </c>
      <c r="C122" s="21">
        <f t="shared" ref="C122:Y122" si="31">SUM(C115:C121)</f>
        <v>1450</v>
      </c>
      <c r="D122" s="21">
        <f t="shared" si="31"/>
        <v>-3247</v>
      </c>
      <c r="E122" s="21">
        <f t="shared" si="31"/>
        <v>-1628</v>
      </c>
      <c r="F122" s="21">
        <f t="shared" si="31"/>
        <v>442</v>
      </c>
      <c r="G122" s="21">
        <f t="shared" si="31"/>
        <v>-2983</v>
      </c>
      <c r="H122" s="21">
        <f t="shared" si="31"/>
        <v>-7070</v>
      </c>
      <c r="I122" s="21">
        <f t="shared" si="31"/>
        <v>-4764</v>
      </c>
      <c r="J122" s="21">
        <f t="shared" si="31"/>
        <v>-2275</v>
      </c>
      <c r="K122" s="21">
        <f t="shared" si="31"/>
        <v>-5011</v>
      </c>
      <c r="L122" s="21">
        <f t="shared" si="31"/>
        <v>-19120</v>
      </c>
      <c r="M122" s="21">
        <f t="shared" si="31"/>
        <v>-2579</v>
      </c>
      <c r="N122" s="21">
        <f t="shared" si="31"/>
        <v>-4219</v>
      </c>
      <c r="O122" s="21">
        <f t="shared" si="31"/>
        <v>-749</v>
      </c>
      <c r="P122" s="21">
        <f t="shared" si="31"/>
        <v>-3446</v>
      </c>
      <c r="Q122" s="21">
        <f t="shared" si="31"/>
        <v>-10993</v>
      </c>
      <c r="R122" s="21">
        <f t="shared" si="31"/>
        <v>-6188</v>
      </c>
      <c r="S122" s="21">
        <f t="shared" si="31"/>
        <v>-4078</v>
      </c>
      <c r="T122" s="21">
        <f t="shared" si="31"/>
        <v>-3657</v>
      </c>
      <c r="U122" s="21">
        <f t="shared" si="31"/>
        <v>-1520</v>
      </c>
      <c r="V122" s="21">
        <f t="shared" si="31"/>
        <v>-15443</v>
      </c>
      <c r="W122" s="21">
        <f t="shared" si="31"/>
        <v>-4146</v>
      </c>
      <c r="X122" s="21">
        <f t="shared" si="31"/>
        <v>10259</v>
      </c>
      <c r="Y122" s="21">
        <f t="shared" si="31"/>
        <v>-3476</v>
      </c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</row>
    <row r="123" spans="2:41" x14ac:dyDescent="0.2">
      <c r="B123" s="7"/>
      <c r="C123" s="1"/>
      <c r="D123" s="36"/>
      <c r="E123" s="1"/>
      <c r="F123" s="36"/>
      <c r="G123" s="34"/>
      <c r="H123" s="1"/>
      <c r="I123" s="36"/>
      <c r="J123" s="36"/>
      <c r="K123" s="36"/>
      <c r="L123" s="22"/>
      <c r="M123" s="1"/>
      <c r="N123" s="36"/>
      <c r="O123" s="36"/>
      <c r="P123" s="36"/>
      <c r="Q123" s="34"/>
      <c r="R123" s="1"/>
      <c r="S123" s="36"/>
      <c r="T123" s="36"/>
      <c r="U123" s="36"/>
      <c r="V123" s="34"/>
      <c r="W123" s="1"/>
      <c r="X123" s="36"/>
      <c r="Y123" s="36"/>
      <c r="Z123" s="1"/>
      <c r="AA123" s="34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2:41" x14ac:dyDescent="0.2">
      <c r="B124" s="7" t="s">
        <v>134</v>
      </c>
      <c r="C124" s="36">
        <f t="shared" ref="C124:Y124" si="32">C105+C112+C122</f>
        <v>6609</v>
      </c>
      <c r="D124" s="36">
        <f t="shared" si="32"/>
        <v>5403</v>
      </c>
      <c r="E124" s="36">
        <f t="shared" si="32"/>
        <v>527</v>
      </c>
      <c r="F124" s="36">
        <f t="shared" si="32"/>
        <v>-6853</v>
      </c>
      <c r="G124" s="37">
        <f t="shared" si="32"/>
        <v>5686</v>
      </c>
      <c r="H124" s="36">
        <f t="shared" si="32"/>
        <v>-1288</v>
      </c>
      <c r="I124" s="36">
        <f t="shared" si="32"/>
        <v>-2057</v>
      </c>
      <c r="J124" s="36">
        <f t="shared" si="32"/>
        <v>490</v>
      </c>
      <c r="K124" s="36">
        <f t="shared" si="32"/>
        <v>-2663</v>
      </c>
      <c r="L124" s="37">
        <f t="shared" si="32"/>
        <v>-5518</v>
      </c>
      <c r="M124" s="36">
        <f t="shared" si="32"/>
        <v>509</v>
      </c>
      <c r="N124" s="36">
        <f t="shared" si="32"/>
        <v>-1586</v>
      </c>
      <c r="O124" s="36">
        <f t="shared" si="32"/>
        <v>1306</v>
      </c>
      <c r="P124" s="36">
        <f t="shared" si="32"/>
        <v>253</v>
      </c>
      <c r="Q124" s="37">
        <f t="shared" si="32"/>
        <v>482</v>
      </c>
      <c r="R124" s="36">
        <f t="shared" si="32"/>
        <v>-1477</v>
      </c>
      <c r="S124" s="36">
        <f t="shared" si="32"/>
        <v>1514</v>
      </c>
      <c r="T124" s="36">
        <f t="shared" si="32"/>
        <v>-669</v>
      </c>
      <c r="U124" s="36">
        <f t="shared" si="32"/>
        <v>1632</v>
      </c>
      <c r="V124" s="37">
        <f t="shared" si="32"/>
        <v>1000</v>
      </c>
      <c r="W124" s="36">
        <f t="shared" si="32"/>
        <v>521</v>
      </c>
      <c r="X124" s="36">
        <f t="shared" si="32"/>
        <v>-2600</v>
      </c>
      <c r="Y124" s="36">
        <f t="shared" si="32"/>
        <v>-57</v>
      </c>
      <c r="Z124" s="1"/>
      <c r="AA124" s="23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2:41" x14ac:dyDescent="0.2">
      <c r="B125" s="7" t="s">
        <v>135</v>
      </c>
      <c r="C125" s="11">
        <v>-46</v>
      </c>
      <c r="D125" s="11">
        <f>(-6)-(-46)</f>
        <v>40</v>
      </c>
      <c r="E125" s="11">
        <f>(-20)-D125-C125</f>
        <v>-14</v>
      </c>
      <c r="F125" s="11">
        <f>G125-C125-D125-E125</f>
        <v>96</v>
      </c>
      <c r="G125" s="22">
        <v>76</v>
      </c>
      <c r="H125" s="11">
        <v>41</v>
      </c>
      <c r="I125" s="11">
        <f>16-H125</f>
        <v>-25</v>
      </c>
      <c r="J125" s="11">
        <f>27-I125-H125</f>
        <v>11</v>
      </c>
      <c r="K125" s="11">
        <f>L125-H125-I125-J125</f>
        <v>-61</v>
      </c>
      <c r="L125" s="22">
        <v>-34</v>
      </c>
      <c r="M125" s="11">
        <v>-8</v>
      </c>
      <c r="N125" s="11">
        <f>-7-M125</f>
        <v>1</v>
      </c>
      <c r="O125" s="11">
        <f>-110-N125-M125</f>
        <v>-103</v>
      </c>
      <c r="P125" s="11">
        <f>Q125-M125-N125-O125</f>
        <v>42</v>
      </c>
      <c r="Q125" s="22">
        <v>-68</v>
      </c>
      <c r="R125" s="11">
        <v>-20</v>
      </c>
      <c r="S125" s="11">
        <f>20-R125</f>
        <v>40</v>
      </c>
      <c r="T125" s="11">
        <f>-67-S125-R125</f>
        <v>-87</v>
      </c>
      <c r="U125" s="11">
        <f>V125-T125-S125-R125</f>
        <v>70</v>
      </c>
      <c r="V125" s="22">
        <v>3</v>
      </c>
      <c r="W125" s="11">
        <v>-17</v>
      </c>
      <c r="X125" s="11">
        <f>-68-W125</f>
        <v>-51</v>
      </c>
      <c r="Y125" s="11">
        <f>-93-X125-W125</f>
        <v>-25</v>
      </c>
      <c r="Z125" s="11"/>
      <c r="AA125" s="34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2:41" x14ac:dyDescent="0.2">
      <c r="B126" s="7" t="s">
        <v>136</v>
      </c>
      <c r="C126" s="11">
        <v>2133</v>
      </c>
      <c r="D126" s="11">
        <f>2133-2133</f>
        <v>0</v>
      </c>
      <c r="E126" s="11">
        <f>2133-D126-C126</f>
        <v>0</v>
      </c>
      <c r="F126" s="11">
        <f>G126-C126-D126-E126</f>
        <v>0</v>
      </c>
      <c r="G126" s="22">
        <v>2133</v>
      </c>
      <c r="H126" s="11">
        <v>7895</v>
      </c>
      <c r="I126" s="11">
        <f>7895-H126</f>
        <v>0</v>
      </c>
      <c r="J126" s="11">
        <f>7895-I126-H126</f>
        <v>0</v>
      </c>
      <c r="K126" s="11">
        <f>L126-H126-I126-J126</f>
        <v>0</v>
      </c>
      <c r="L126" s="22">
        <v>7895</v>
      </c>
      <c r="M126" s="11">
        <v>2343</v>
      </c>
      <c r="N126" s="11">
        <f>2343-M126</f>
        <v>0</v>
      </c>
      <c r="O126" s="11">
        <f>2343-N126-M126</f>
        <v>0</v>
      </c>
      <c r="P126" s="11">
        <f>Q126-M126-N126-O126</f>
        <v>0</v>
      </c>
      <c r="Q126" s="22">
        <v>2343</v>
      </c>
      <c r="R126" s="11">
        <v>2757</v>
      </c>
      <c r="S126" s="11">
        <f>2757-R126</f>
        <v>0</v>
      </c>
      <c r="T126" s="11">
        <f>2757-S126-R126</f>
        <v>0</v>
      </c>
      <c r="U126" s="11">
        <f>V126-T126-S126-R126</f>
        <v>0</v>
      </c>
      <c r="V126" s="22">
        <v>2757</v>
      </c>
      <c r="W126" s="11">
        <v>3760</v>
      </c>
      <c r="X126" s="11">
        <f>3760-W126</f>
        <v>0</v>
      </c>
      <c r="Y126" s="11">
        <f>3760-X126-W126</f>
        <v>0</v>
      </c>
      <c r="Z126" s="11"/>
      <c r="AA126" s="34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2:41" x14ac:dyDescent="0.2">
      <c r="B127" s="7" t="s">
        <v>137</v>
      </c>
      <c r="C127" s="36">
        <f t="shared" ref="C127:Y127" si="33">SUM(C124:C126)</f>
        <v>8696</v>
      </c>
      <c r="D127" s="36">
        <f t="shared" si="33"/>
        <v>5443</v>
      </c>
      <c r="E127" s="36">
        <f t="shared" si="33"/>
        <v>513</v>
      </c>
      <c r="F127" s="36">
        <f t="shared" si="33"/>
        <v>-6757</v>
      </c>
      <c r="G127" s="37">
        <f t="shared" si="33"/>
        <v>7895</v>
      </c>
      <c r="H127" s="36">
        <f t="shared" si="33"/>
        <v>6648</v>
      </c>
      <c r="I127" s="36">
        <f t="shared" si="33"/>
        <v>-2082</v>
      </c>
      <c r="J127" s="36">
        <f t="shared" si="33"/>
        <v>501</v>
      </c>
      <c r="K127" s="36">
        <f t="shared" si="33"/>
        <v>-2724</v>
      </c>
      <c r="L127" s="37">
        <f t="shared" si="33"/>
        <v>2343</v>
      </c>
      <c r="M127" s="36">
        <f t="shared" si="33"/>
        <v>2844</v>
      </c>
      <c r="N127" s="36">
        <f t="shared" si="33"/>
        <v>-1585</v>
      </c>
      <c r="O127" s="36">
        <f t="shared" si="33"/>
        <v>1203</v>
      </c>
      <c r="P127" s="36">
        <f t="shared" si="33"/>
        <v>295</v>
      </c>
      <c r="Q127" s="37">
        <f t="shared" si="33"/>
        <v>2757</v>
      </c>
      <c r="R127" s="36">
        <f t="shared" si="33"/>
        <v>1260</v>
      </c>
      <c r="S127" s="36">
        <f t="shared" si="33"/>
        <v>1554</v>
      </c>
      <c r="T127" s="36">
        <f t="shared" si="33"/>
        <v>-756</v>
      </c>
      <c r="U127" s="36">
        <f t="shared" si="33"/>
        <v>1702</v>
      </c>
      <c r="V127" s="37">
        <f t="shared" si="33"/>
        <v>3760</v>
      </c>
      <c r="W127" s="36">
        <f t="shared" si="33"/>
        <v>4264</v>
      </c>
      <c r="X127" s="36">
        <f t="shared" si="33"/>
        <v>-2651</v>
      </c>
      <c r="Y127" s="36">
        <f t="shared" si="33"/>
        <v>-82</v>
      </c>
      <c r="Z127" s="1"/>
      <c r="AA127" s="34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2:41" x14ac:dyDescent="0.2">
      <c r="B128" s="7"/>
      <c r="C128" s="36"/>
      <c r="D128" s="36"/>
      <c r="E128" s="36"/>
      <c r="F128" s="36"/>
      <c r="G128" s="1"/>
      <c r="H128" s="1"/>
      <c r="I128" s="36"/>
      <c r="J128" s="36"/>
      <c r="K128" s="1"/>
      <c r="L128" s="1"/>
      <c r="M128" s="1"/>
      <c r="N128" s="36"/>
      <c r="O128" s="36"/>
      <c r="P128" s="1"/>
      <c r="Q128" s="1"/>
      <c r="R128" s="1"/>
      <c r="S128" s="36"/>
      <c r="T128" s="1"/>
      <c r="U128" s="1"/>
      <c r="V128" s="1"/>
      <c r="W128" s="1"/>
      <c r="X128" s="36"/>
      <c r="Y128" s="36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2:41" x14ac:dyDescent="0.2">
      <c r="B129" s="7"/>
      <c r="C129" s="36"/>
      <c r="D129" s="1"/>
      <c r="E129" s="36"/>
      <c r="F129" s="1"/>
      <c r="G129" s="1"/>
      <c r="H129" s="1"/>
      <c r="I129" s="1"/>
      <c r="J129" s="1"/>
      <c r="K129" s="36"/>
      <c r="L129" s="1"/>
      <c r="M129" s="1"/>
      <c r="N129" s="1"/>
      <c r="O129" s="36"/>
      <c r="P129" s="1"/>
      <c r="Q129" s="1"/>
      <c r="R129" s="1"/>
      <c r="S129" s="36"/>
      <c r="T129" s="1"/>
      <c r="U129" s="36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2:41" x14ac:dyDescent="0.2">
      <c r="B130" s="7"/>
      <c r="C130" s="3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2" spans="2:41" x14ac:dyDescent="0.2">
      <c r="B132" s="5" t="s">
        <v>107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</row>
    <row r="137" spans="2:41" x14ac:dyDescent="0.2">
      <c r="B137" s="5" t="s">
        <v>108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42" spans="2:41" x14ac:dyDescent="0.2">
      <c r="B142" s="5" t="s">
        <v>109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94EE-488D-4E57-9348-F8B200B2C738}">
  <dimension ref="B1:M47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2" sqref="K12"/>
    </sheetView>
  </sheetViews>
  <sheetFormatPr defaultColWidth="8.85546875" defaultRowHeight="12" x14ac:dyDescent="0.2"/>
  <cols>
    <col min="1" max="1" width="2.5703125" style="2" customWidth="1"/>
    <col min="2" max="2" width="51.28515625" style="2" customWidth="1"/>
    <col min="3" max="4" width="8.85546875" style="2"/>
    <col min="5" max="5" width="10.7109375" style="2" customWidth="1"/>
    <col min="6" max="16384" width="8.85546875" style="2"/>
  </cols>
  <sheetData>
    <row r="1" spans="2:13" ht="20.25" x14ac:dyDescent="0.3">
      <c r="B1" s="14" t="s">
        <v>0</v>
      </c>
    </row>
    <row r="2" spans="2:13" x14ac:dyDescent="0.2">
      <c r="B2" s="1" t="s">
        <v>266</v>
      </c>
    </row>
    <row r="3" spans="2:13" x14ac:dyDescent="0.2">
      <c r="B3" s="3"/>
    </row>
    <row r="5" spans="2:13" x14ac:dyDescent="0.2">
      <c r="B5" s="2" t="s">
        <v>3</v>
      </c>
      <c r="C5" s="4">
        <f>DATE(2021,1,31)</f>
        <v>44227</v>
      </c>
      <c r="D5" s="4">
        <f>DATE(2022,1,30)</f>
        <v>44591</v>
      </c>
      <c r="E5" s="4">
        <f>DATE(2022,1,29)</f>
        <v>44590</v>
      </c>
      <c r="F5" s="4">
        <f>DATE(2024,1,28)</f>
        <v>45319</v>
      </c>
      <c r="G5" s="4"/>
      <c r="H5" s="4"/>
      <c r="I5" s="4"/>
      <c r="J5" s="4"/>
      <c r="K5" s="4"/>
      <c r="L5" s="4"/>
      <c r="M5" s="4"/>
    </row>
    <row r="6" spans="2:13" x14ac:dyDescent="0.2">
      <c r="B6" s="2" t="s">
        <v>63</v>
      </c>
      <c r="C6" s="30" t="s">
        <v>158</v>
      </c>
      <c r="D6" s="15" t="s">
        <v>159</v>
      </c>
      <c r="E6" s="15" t="s">
        <v>160</v>
      </c>
      <c r="F6" s="15" t="s">
        <v>334</v>
      </c>
      <c r="G6" s="15" t="s">
        <v>33</v>
      </c>
      <c r="H6" s="15" t="s">
        <v>38</v>
      </c>
      <c r="I6" s="15" t="s">
        <v>39</v>
      </c>
      <c r="J6" s="15" t="s">
        <v>40</v>
      </c>
      <c r="K6" s="15" t="s">
        <v>41</v>
      </c>
      <c r="L6" s="15" t="s">
        <v>42</v>
      </c>
      <c r="M6" s="15" t="s">
        <v>333</v>
      </c>
    </row>
    <row r="7" spans="2:13" x14ac:dyDescent="0.2">
      <c r="C7" s="31"/>
      <c r="D7" s="1"/>
      <c r="E7" s="1"/>
      <c r="F7" s="1"/>
      <c r="G7" s="1"/>
      <c r="H7" s="1"/>
      <c r="I7" s="1"/>
      <c r="J7" s="1"/>
      <c r="K7" s="1"/>
      <c r="L7" s="1"/>
      <c r="M7" s="1"/>
    </row>
    <row r="8" spans="2:13" x14ac:dyDescent="0.2">
      <c r="C8" s="30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2:13" x14ac:dyDescent="0.2">
      <c r="B9" s="16" t="s">
        <v>262</v>
      </c>
      <c r="C9" s="17"/>
      <c r="D9" s="17"/>
      <c r="E9" s="17"/>
      <c r="F9" s="17"/>
      <c r="G9" s="18"/>
      <c r="H9" s="18"/>
      <c r="I9" s="18"/>
      <c r="J9" s="18"/>
      <c r="K9" s="18"/>
      <c r="L9" s="18"/>
      <c r="M9" s="18"/>
    </row>
    <row r="10" spans="2:13" x14ac:dyDescent="0.2">
      <c r="B10" s="2" t="s">
        <v>285</v>
      </c>
      <c r="C10" s="86">
        <f>'Annual Model'!C42/'Annual Model'!C63</f>
        <v>1.078095238095238</v>
      </c>
      <c r="D10" s="86">
        <f>'Annual Model'!D42/'Annual Model'!D63</f>
        <v>1.2292583959250627</v>
      </c>
      <c r="E10" s="86">
        <f>'Annual Model'!E42/'Annual Model'!E63</f>
        <v>1.012616317568745</v>
      </c>
      <c r="F10" s="86">
        <f>'Annual Model'!F42/'Annual Model'!F63</f>
        <v>1.4050627434011251</v>
      </c>
      <c r="G10" s="86">
        <f ca="1">'Annual Model'!G42/'Annual Model'!G63</f>
        <v>1.4391966848796631</v>
      </c>
      <c r="H10" s="86">
        <f ca="1">'Annual Model'!H42/'Annual Model'!H63</f>
        <v>1.3799910734564742</v>
      </c>
      <c r="I10" s="86">
        <f ca="1">'Annual Model'!I42/'Annual Model'!I63</f>
        <v>1.3169966772039188</v>
      </c>
      <c r="J10" s="86">
        <f ca="1">'Annual Model'!J42/'Annual Model'!J63</f>
        <v>1.3146027575717096</v>
      </c>
      <c r="K10" s="86">
        <f ca="1">'Annual Model'!K42/'Annual Model'!K63</f>
        <v>1.3331055300785672</v>
      </c>
      <c r="L10" s="86">
        <f ca="1">'Annual Model'!L42/'Annual Model'!L63</f>
        <v>1.3693779737927492</v>
      </c>
      <c r="M10" s="86">
        <f ca="1">'Annual Model'!M42/'Annual Model'!M63</f>
        <v>1.4247131633350745</v>
      </c>
    </row>
    <row r="11" spans="2:13" x14ac:dyDescent="0.2">
      <c r="B11" s="2" t="s">
        <v>286</v>
      </c>
      <c r="C11" s="86">
        <f>('Annual Model'!C42-'Annual Model'!C40)/'Annual Model'!C63</f>
        <v>0.28729251700680269</v>
      </c>
      <c r="D11" s="86">
        <f>('Annual Model'!D42-'Annual Model'!D40)/'Annual Model'!D63</f>
        <v>0.51152551152551151</v>
      </c>
      <c r="E11" s="86">
        <f>('Annual Model'!E42-'Annual Model'!E40)/'Annual Model'!E63</f>
        <v>0.24350886975917471</v>
      </c>
      <c r="F11" s="86">
        <f>('Annual Model'!F42-'Annual Model'!F40)/'Annual Model'!F63</f>
        <v>0.32821289485071398</v>
      </c>
      <c r="G11" s="86">
        <f ca="1">('Annual Model'!G42-'Annual Model'!G40)/'Annual Model'!G63</f>
        <v>0.50176158763422229</v>
      </c>
      <c r="H11" s="86">
        <f ca="1">('Annual Model'!H42-'Annual Model'!H40)/'Annual Model'!H63</f>
        <v>0.45411265267547696</v>
      </c>
      <c r="I11" s="86">
        <f ca="1">('Annual Model'!I42-'Annual Model'!I40)/'Annual Model'!I63</f>
        <v>0.39870183768824669</v>
      </c>
      <c r="J11" s="86">
        <f ca="1">('Annual Model'!J42-'Annual Model'!J40)/'Annual Model'!J63</f>
        <v>0.40243696885125885</v>
      </c>
      <c r="K11" s="86">
        <f ca="1">('Annual Model'!K42-'Annual Model'!K40)/'Annual Model'!K63</f>
        <v>0.42766655775976437</v>
      </c>
      <c r="L11" s="86">
        <f ca="1">('Annual Model'!L42-'Annual Model'!L40)/'Annual Model'!L63</f>
        <v>0.47109474905960286</v>
      </c>
      <c r="M11" s="86">
        <f ca="1">('Annual Model'!M42-'Annual Model'!M40)/'Annual Model'!M63</f>
        <v>0.53401010263559612</v>
      </c>
    </row>
    <row r="12" spans="2:13" x14ac:dyDescent="0.2">
      <c r="B12" s="2" t="s">
        <v>287</v>
      </c>
      <c r="C12" s="86">
        <f>'Annual Model'!C38/'Annual Model'!C63</f>
        <v>0.11608163265306122</v>
      </c>
      <c r="D12" s="86">
        <f>'Annual Model'!D38/'Annual Model'!D63</f>
        <v>0.34080117413450745</v>
      </c>
      <c r="E12" s="86">
        <f>'Annual Model'!E38/'Annual Model'!E63</f>
        <v>8.1657547136932351E-2</v>
      </c>
      <c r="F12" s="86">
        <f>'Annual Model'!F38/'Annual Model'!F63</f>
        <v>0.11929900475984423</v>
      </c>
      <c r="G12" s="86">
        <f ca="1">'Annual Model'!G38/'Annual Model'!G63</f>
        <v>0.3127158940054906</v>
      </c>
      <c r="H12" s="86">
        <f ca="1">'Annual Model'!H38/'Annual Model'!H63</f>
        <v>0.27410089709264579</v>
      </c>
      <c r="I12" s="86">
        <f ca="1">'Annual Model'!I38/'Annual Model'!I63</f>
        <v>0.2268636330122179</v>
      </c>
      <c r="J12" s="86">
        <f ca="1">'Annual Model'!J38/'Annual Model'!J63</f>
        <v>0.23805683438882824</v>
      </c>
      <c r="K12" s="86">
        <f ca="1">'Annual Model'!K38/'Annual Model'!K63</f>
        <v>0.27023583774485022</v>
      </c>
      <c r="L12" s="86">
        <f ca="1">'Annual Model'!L38/'Annual Model'!L63</f>
        <v>0.32015862451567301</v>
      </c>
      <c r="M12" s="86">
        <f ca="1">'Annual Model'!M38/'Annual Model'!M63</f>
        <v>0.38917153172530655</v>
      </c>
    </row>
    <row r="13" spans="2:13" x14ac:dyDescent="0.2">
      <c r="B13" s="16" t="s">
        <v>263</v>
      </c>
      <c r="C13" s="17"/>
      <c r="D13" s="17"/>
      <c r="E13" s="17"/>
      <c r="F13" s="17"/>
      <c r="G13" s="18"/>
      <c r="H13" s="18"/>
      <c r="I13" s="18"/>
      <c r="J13" s="18"/>
      <c r="K13" s="18"/>
      <c r="L13" s="18"/>
      <c r="M13" s="18"/>
    </row>
    <row r="14" spans="2:13" x14ac:dyDescent="0.2">
      <c r="B14" s="2" t="s">
        <v>288</v>
      </c>
      <c r="C14" s="86">
        <f>'Annual Model'!C70/'Annual Model'!C50</f>
        <v>1.0608166133187602</v>
      </c>
      <c r="D14" s="86">
        <f>'Annual Model'!D70/'Annual Model'!D50</f>
        <v>0.95325937575268127</v>
      </c>
      <c r="E14" s="86">
        <f>'Annual Model'!E70/'Annual Model'!E50</f>
        <v>1.0235961934442652</v>
      </c>
      <c r="F14" s="86">
        <f>'Annual Model'!F70/'Annual Model'!F50</f>
        <v>0.97956700896069071</v>
      </c>
      <c r="G14" s="86">
        <f ca="1">'Annual Model'!G70/'Annual Model'!G50</f>
        <v>0.94791751873237928</v>
      </c>
      <c r="H14" s="86">
        <f ca="1">'Annual Model'!H70/'Annual Model'!H50</f>
        <v>0.91021745381292107</v>
      </c>
      <c r="I14" s="86">
        <f ca="1">'Annual Model'!I70/'Annual Model'!I50</f>
        <v>0.86491634145154517</v>
      </c>
      <c r="J14" s="86">
        <f ca="1">'Annual Model'!J70/'Annual Model'!J50</f>
        <v>0.81484795473145011</v>
      </c>
      <c r="K14" s="86">
        <f ca="1">'Annual Model'!K70/'Annual Model'!K50</f>
        <v>0.75914264265857789</v>
      </c>
      <c r="L14" s="86">
        <f ca="1">'Annual Model'!L70/'Annual Model'!L50</f>
        <v>0.69964543935084189</v>
      </c>
      <c r="M14" s="86">
        <f ca="1">'Annual Model'!M70/'Annual Model'!M50</f>
        <v>0.63825260580758358</v>
      </c>
    </row>
    <row r="15" spans="2:13" x14ac:dyDescent="0.2">
      <c r="B15" s="2" t="s">
        <v>289</v>
      </c>
      <c r="C15" s="86">
        <f>'Annual Model'!C70/'Annual Model'!C79</f>
        <v>1.0608166133187602</v>
      </c>
      <c r="D15" s="86">
        <f>'Annual Model'!D70/'Annual Model'!D79</f>
        <v>0.95325937575268127</v>
      </c>
      <c r="E15" s="86">
        <f>'Annual Model'!E70/'Annual Model'!E79</f>
        <v>1.0235961934442652</v>
      </c>
      <c r="F15" s="86">
        <f>'Annual Model'!F70/'Annual Model'!F79</f>
        <v>0.97956700896069071</v>
      </c>
      <c r="G15" s="86">
        <f ca="1">'Annual Model'!G70/'Annual Model'!G79</f>
        <v>0.9479175187323795</v>
      </c>
      <c r="H15" s="86">
        <f ca="1">'Annual Model'!H70/'Annual Model'!H79</f>
        <v>0.9102174538129213</v>
      </c>
      <c r="I15" s="86">
        <f ca="1">'Annual Model'!I70/'Annual Model'!I79</f>
        <v>0.86491634145154539</v>
      </c>
      <c r="J15" s="86">
        <f ca="1">'Annual Model'!J70/'Annual Model'!J79</f>
        <v>0.81484795473145011</v>
      </c>
      <c r="K15" s="86">
        <f ca="1">'Annual Model'!K70/'Annual Model'!K79</f>
        <v>0.759142642658578</v>
      </c>
      <c r="L15" s="86">
        <f ca="1">'Annual Model'!L70/'Annual Model'!L79</f>
        <v>0.69964543935084189</v>
      </c>
      <c r="M15" s="86">
        <f ca="1">'Annual Model'!M70/'Annual Model'!M79</f>
        <v>0.63825260580758358</v>
      </c>
    </row>
    <row r="16" spans="2:13" x14ac:dyDescent="0.2">
      <c r="B16" s="16" t="s">
        <v>264</v>
      </c>
      <c r="C16" s="17"/>
      <c r="D16" s="17"/>
      <c r="E16" s="17"/>
      <c r="F16" s="17"/>
      <c r="G16" s="18"/>
      <c r="H16" s="18"/>
      <c r="I16" s="18"/>
      <c r="J16" s="18"/>
      <c r="K16" s="18"/>
      <c r="L16" s="18"/>
      <c r="M16" s="18"/>
    </row>
    <row r="17" spans="2:13" x14ac:dyDescent="0.2">
      <c r="B17" s="2" t="s">
        <v>290</v>
      </c>
      <c r="C17" s="61">
        <f>'Annual Model'!C25/'Annual Model'!C50</f>
        <v>0.25111249902412364</v>
      </c>
      <c r="D17" s="61">
        <f>'Annual Model'!D25/'Annual Model'!D50</f>
        <v>0.23282469786486448</v>
      </c>
      <c r="E17" s="61">
        <f>'Annual Model'!E25/'Annual Model'!E50</f>
        <v>0.23797929767933665</v>
      </c>
      <c r="F17" s="61">
        <f>'Annual Model'!F25/'Annual Model'!F50</f>
        <v>0.19809013015893781</v>
      </c>
      <c r="G17" s="61">
        <f ca="1">'Annual Model'!G25/'Annual Model'!G50</f>
        <v>0.19066488484861016</v>
      </c>
      <c r="H17" s="61">
        <f ca="1">'Annual Model'!H25/'Annual Model'!H50</f>
        <v>0.19842127869604881</v>
      </c>
      <c r="I17" s="61">
        <f ca="1">'Annual Model'!I25/'Annual Model'!I50</f>
        <v>0.20891859160620638</v>
      </c>
      <c r="J17" s="61">
        <f ca="1">'Annual Model'!J25/'Annual Model'!J50</f>
        <v>0.21593756577257028</v>
      </c>
      <c r="K17" s="61">
        <f ca="1">'Annual Model'!K25/'Annual Model'!K50</f>
        <v>0.22086639278706766</v>
      </c>
      <c r="L17" s="61">
        <f ca="1">'Annual Model'!L25/'Annual Model'!L50</f>
        <v>0.22389404651917122</v>
      </c>
      <c r="M17" s="61">
        <f ca="1">'Annual Model'!M25/'Annual Model'!M50</f>
        <v>0.22478230019230241</v>
      </c>
    </row>
    <row r="18" spans="2:13" x14ac:dyDescent="0.2">
      <c r="B18" s="2" t="s">
        <v>291</v>
      </c>
      <c r="C18" s="61">
        <f>'Annual Model'!C25/'Annual Model'!C78</f>
        <v>-4.1290115532734273</v>
      </c>
      <c r="D18" s="61">
        <f>'Annual Model'!D25/'Annual Model'!D78</f>
        <v>4.9812064261897548</v>
      </c>
      <c r="E18" s="61">
        <f>'Annual Model'!E25/'Annual Model'!E78</f>
        <v>-10.085495283018869</v>
      </c>
      <c r="F18" s="61">
        <f>'Annual Model'!F25/'Annual Model'!F78</f>
        <v>9.6946222791293213</v>
      </c>
      <c r="G18" s="61">
        <f ca="1">'Annual Model'!G25/'Annual Model'!G78</f>
        <v>3.6608256789629152</v>
      </c>
      <c r="H18" s="61">
        <f ca="1">'Annual Model'!H25/'Annual Model'!H78</f>
        <v>2.2100206234138318</v>
      </c>
      <c r="I18" s="61">
        <f ca="1">'Annual Model'!I25/'Annual Model'!I78</f>
        <v>1.5465867141232861</v>
      </c>
      <c r="J18" s="61">
        <f ca="1">'Annual Model'!J25/'Annual Model'!J78</f>
        <v>1.1662715659412153</v>
      </c>
      <c r="K18" s="61">
        <f ca="1">'Annual Model'!K25/'Annual Model'!K78</f>
        <v>0.91700081419552981</v>
      </c>
      <c r="L18" s="61">
        <f ca="1">'Annual Model'!L25/'Annual Model'!L78</f>
        <v>0.74543248497797943</v>
      </c>
      <c r="M18" s="61">
        <f ca="1">'Annual Model'!M25/'Annual Model'!M78</f>
        <v>0.6213791828248495</v>
      </c>
    </row>
    <row r="19" spans="2:13" x14ac:dyDescent="0.2"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</row>
    <row r="20" spans="2:13" x14ac:dyDescent="0.2"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</row>
    <row r="21" spans="2:13" x14ac:dyDescent="0.2">
      <c r="B21" s="5" t="s">
        <v>265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</row>
    <row r="22" spans="2:13" x14ac:dyDescent="0.2">
      <c r="B22" s="16" t="s">
        <v>283</v>
      </c>
      <c r="C22" s="17"/>
      <c r="D22" s="17"/>
      <c r="E22" s="17"/>
      <c r="F22" s="17"/>
      <c r="G22" s="18"/>
      <c r="H22" s="18"/>
      <c r="I22" s="18"/>
      <c r="J22" s="18"/>
      <c r="K22" s="18"/>
      <c r="L22" s="18"/>
      <c r="M22" s="18"/>
    </row>
    <row r="23" spans="2:13" x14ac:dyDescent="0.2">
      <c r="B23" s="1" t="s">
        <v>283</v>
      </c>
      <c r="C23" s="36">
        <f>'Annual Model'!C105+'Annual Model'!C108</f>
        <v>16376</v>
      </c>
      <c r="D23" s="36">
        <f>'Annual Model'!D105+'Annual Model'!D108</f>
        <v>14005</v>
      </c>
      <c r="E23" s="36">
        <f>'Annual Model'!E105+'Annual Model'!E108</f>
        <v>11496</v>
      </c>
      <c r="F23" s="36">
        <f>'Annual Model'!F105+'Annual Model'!F108</f>
        <v>17946</v>
      </c>
      <c r="G23" s="36">
        <f ca="1">'Annual Model'!G105+'Annual Model'!G108</f>
        <v>19650.858985243474</v>
      </c>
      <c r="H23" s="36">
        <f ca="1">'Annual Model'!H105+'Annual Model'!H108</f>
        <v>17240.631437673761</v>
      </c>
      <c r="I23" s="36">
        <f ca="1">'Annual Model'!I105+'Annual Model'!I108</f>
        <v>17692.08845037346</v>
      </c>
      <c r="J23" s="36">
        <f ca="1">'Annual Model'!J105+'Annual Model'!J108</f>
        <v>18322.038863731192</v>
      </c>
      <c r="K23" s="36">
        <f ca="1">'Annual Model'!K105+'Annual Model'!K108</f>
        <v>19029.445217849581</v>
      </c>
      <c r="L23" s="36">
        <f ca="1">'Annual Model'!L105+'Annual Model'!L108</f>
        <v>19744.173945651637</v>
      </c>
      <c r="M23" s="36">
        <f ca="1">'Annual Model'!M105+'Annual Model'!M108</f>
        <v>20561.737912298144</v>
      </c>
    </row>
    <row r="24" spans="2:13" x14ac:dyDescent="0.2">
      <c r="B24" s="8" t="s">
        <v>307</v>
      </c>
      <c r="C24" s="36"/>
      <c r="D24" s="61">
        <f>D23/C23-1</f>
        <v>-0.14478505129457742</v>
      </c>
      <c r="E24" s="61">
        <f t="shared" ref="E24:M24" si="0">E23/D23-1</f>
        <v>-0.17915030346304894</v>
      </c>
      <c r="F24" s="61">
        <f t="shared" si="0"/>
        <v>0.5610647181628392</v>
      </c>
      <c r="G24" s="61">
        <f t="shared" ca="1" si="0"/>
        <v>9.4999386227765159E-2</v>
      </c>
      <c r="H24" s="61">
        <f t="shared" ca="1" si="0"/>
        <v>-0.12265252879681432</v>
      </c>
      <c r="I24" s="61">
        <f t="shared" ca="1" si="0"/>
        <v>2.618564258111733E-2</v>
      </c>
      <c r="J24" s="61">
        <f t="shared" ca="1" si="0"/>
        <v>3.5606334160308561E-2</v>
      </c>
      <c r="K24" s="61">
        <f t="shared" ca="1" si="0"/>
        <v>3.8609587032298665E-2</v>
      </c>
      <c r="L24" s="61">
        <f t="shared" ca="1" si="0"/>
        <v>3.7559094320397834E-2</v>
      </c>
      <c r="M24" s="61">
        <f t="shared" ca="1" si="0"/>
        <v>4.1407858788975238E-2</v>
      </c>
    </row>
    <row r="26" spans="2:13" x14ac:dyDescent="0.2">
      <c r="B26" s="16" t="s">
        <v>270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2:13" x14ac:dyDescent="0.2">
      <c r="B27" s="2" t="s">
        <v>47</v>
      </c>
      <c r="C27" s="10">
        <f>'Annual Model'!C17</f>
        <v>18278</v>
      </c>
      <c r="D27" s="10">
        <f>'Annual Model'!D17</f>
        <v>23040</v>
      </c>
      <c r="E27" s="10">
        <f>'Annual Model'!E17</f>
        <v>24039</v>
      </c>
      <c r="F27" s="10">
        <f>'Annual Model'!F17</f>
        <v>21689</v>
      </c>
      <c r="G27" s="10">
        <f>'Annual Model'!G17</f>
        <v>22075.783005482728</v>
      </c>
      <c r="H27" s="10">
        <f>'Annual Model'!H17</f>
        <v>22579.234934947217</v>
      </c>
      <c r="I27" s="10">
        <f>'Annual Model'!I17</f>
        <v>23317.229909217109</v>
      </c>
      <c r="J27" s="10">
        <f>'Annual Model'!J17</f>
        <v>24147.593871990932</v>
      </c>
      <c r="K27" s="10">
        <f>'Annual Model'!K17</f>
        <v>24934.329626615174</v>
      </c>
      <c r="L27" s="10">
        <f>'Annual Model'!L17</f>
        <v>25683.480187348257</v>
      </c>
      <c r="M27" s="10">
        <f>'Annual Model'!M17</f>
        <v>26390.009155631182</v>
      </c>
    </row>
    <row r="28" spans="2:13" x14ac:dyDescent="0.2">
      <c r="B28" s="2" t="s">
        <v>276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2:13" x14ac:dyDescent="0.2">
      <c r="B29" s="2" t="s">
        <v>274</v>
      </c>
      <c r="C29" s="61">
        <f>'Annual Model'!C24</f>
        <v>0.24219578277771234</v>
      </c>
      <c r="D29" s="61">
        <f>'Annual Model'!D24</f>
        <v>0.244007912775452</v>
      </c>
      <c r="E29" s="61">
        <f>'Annual Model'!E24</f>
        <v>0.23899986653023089</v>
      </c>
      <c r="F29" s="61">
        <f>'Annual Model'!F24</f>
        <v>0.23996185504918691</v>
      </c>
      <c r="G29" s="61">
        <f>'Annual Model'!G24</f>
        <v>0.24</v>
      </c>
      <c r="H29" s="61">
        <f>'Annual Model'!H24</f>
        <v>0.24</v>
      </c>
      <c r="I29" s="61">
        <f>'Annual Model'!I24</f>
        <v>0.24</v>
      </c>
      <c r="J29" s="61">
        <f>'Annual Model'!J24</f>
        <v>0.24</v>
      </c>
      <c r="K29" s="61">
        <f>'Annual Model'!K24</f>
        <v>0.24</v>
      </c>
      <c r="L29" s="61">
        <f>'Annual Model'!L24</f>
        <v>0.24</v>
      </c>
      <c r="M29" s="61">
        <f>'Annual Model'!M24</f>
        <v>0.24</v>
      </c>
    </row>
    <row r="30" spans="2:13" x14ac:dyDescent="0.2">
      <c r="B30" s="2" t="s">
        <v>275</v>
      </c>
      <c r="C30" s="10">
        <f>C27*(1-C29)</f>
        <v>13851.145482388973</v>
      </c>
      <c r="D30" s="10">
        <f t="shared" ref="D30:M30" si="1">D27*(1-D29)</f>
        <v>17418.057689653586</v>
      </c>
      <c r="E30" s="10">
        <f t="shared" si="1"/>
        <v>18293.682208479779</v>
      </c>
      <c r="F30" s="10">
        <f t="shared" si="1"/>
        <v>16484.467325838184</v>
      </c>
      <c r="G30" s="10">
        <f t="shared" si="1"/>
        <v>16777.595084166875</v>
      </c>
      <c r="H30" s="10">
        <f t="shared" si="1"/>
        <v>17160.218550559886</v>
      </c>
      <c r="I30" s="10">
        <f t="shared" si="1"/>
        <v>17721.094731005003</v>
      </c>
      <c r="J30" s="10">
        <f t="shared" si="1"/>
        <v>18352.171342713107</v>
      </c>
      <c r="K30" s="10">
        <f t="shared" si="1"/>
        <v>18950.090516227534</v>
      </c>
      <c r="L30" s="10">
        <f t="shared" si="1"/>
        <v>19519.444942384675</v>
      </c>
      <c r="M30" s="10">
        <f t="shared" si="1"/>
        <v>20056.406958279698</v>
      </c>
    </row>
    <row r="31" spans="2:13" x14ac:dyDescent="0.2">
      <c r="B31" s="7" t="s">
        <v>277</v>
      </c>
      <c r="C31" s="10">
        <f>'Annual Model'!C88</f>
        <v>2519</v>
      </c>
      <c r="D31" s="10">
        <f>'Annual Model'!D88</f>
        <v>2862</v>
      </c>
      <c r="E31" s="10">
        <f>'Annual Model'!E88</f>
        <v>2975</v>
      </c>
      <c r="F31" s="10">
        <f>'Annual Model'!F88</f>
        <v>3247</v>
      </c>
      <c r="G31" s="10">
        <f>'Annual Model'!G88</f>
        <v>3411.3956899999998</v>
      </c>
      <c r="H31" s="10">
        <f>'Annual Model'!H88</f>
        <v>3570.2172507</v>
      </c>
      <c r="I31" s="10">
        <f>'Annual Model'!I88</f>
        <v>3735.391673828</v>
      </c>
      <c r="J31" s="10">
        <f>'Annual Model'!J88</f>
        <v>3907.668597150504</v>
      </c>
      <c r="K31" s="10">
        <f>'Annual Model'!K88</f>
        <v>4086.8365974059079</v>
      </c>
      <c r="L31" s="10">
        <f>'Annual Model'!L88</f>
        <v>4272.7233976708894</v>
      </c>
      <c r="M31" s="10">
        <f>'Annual Model'!M88</f>
        <v>4465.1162359451455</v>
      </c>
    </row>
    <row r="32" spans="2:13" x14ac:dyDescent="0.2">
      <c r="B32" s="7" t="s">
        <v>278</v>
      </c>
      <c r="C32" s="10">
        <f>'Annual Model'!C93</f>
        <v>-569</v>
      </c>
      <c r="D32" s="10">
        <f>'Annual Model'!D93</f>
        <v>-276</v>
      </c>
      <c r="E32" s="10">
        <f>'Annual Model'!E93</f>
        <v>138</v>
      </c>
      <c r="F32" s="10">
        <f>'Annual Model'!F93</f>
        <v>-245</v>
      </c>
      <c r="G32" s="10">
        <f>'Annual Model'!G93</f>
        <v>678.81341399999985</v>
      </c>
      <c r="H32" s="10">
        <f>'Annual Model'!H93</f>
        <v>688.53215729999999</v>
      </c>
      <c r="I32" s="10">
        <f>'Annual Model'!I93</f>
        <v>497.6185389672001</v>
      </c>
      <c r="J32" s="10">
        <f>'Annual Model'!J93</f>
        <v>341.98311559887833</v>
      </c>
      <c r="K32" s="10">
        <f>'Annual Model'!K93</f>
        <v>214.36357915406157</v>
      </c>
      <c r="L32" s="10">
        <f>'Annual Model'!L93</f>
        <v>108.37019370723043</v>
      </c>
      <c r="M32" s="10">
        <f>'Annual Model'!M93</f>
        <v>117.08913616159349</v>
      </c>
    </row>
    <row r="33" spans="2:13" x14ac:dyDescent="0.2">
      <c r="B33" s="7" t="s">
        <v>279</v>
      </c>
      <c r="C33" s="10">
        <f>'Annual Model'!C103</f>
        <v>2847</v>
      </c>
      <c r="D33" s="10">
        <f>'Annual Model'!D103</f>
        <v>-3488</v>
      </c>
      <c r="E33" s="10">
        <f>'Annual Model'!E103</f>
        <v>-5403</v>
      </c>
      <c r="F33" s="10">
        <f>'Annual Model'!F103</f>
        <v>2835</v>
      </c>
      <c r="G33" s="10">
        <f ca="1">'Annual Model'!G103</f>
        <v>2655.6603859326769</v>
      </c>
      <c r="H33" s="10">
        <f ca="1">'Annual Model'!H103</f>
        <v>-361.41703918713733</v>
      </c>
      <c r="I33" s="10">
        <f ca="1">'Annual Model'!I103</f>
        <v>-492.01154914993162</v>
      </c>
      <c r="J33" s="10">
        <f ca="1">'Annual Model'!J103</f>
        <v>-549.87678332567862</v>
      </c>
      <c r="K33" s="10">
        <f ca="1">'Annual Model'!K103</f>
        <v>-536.2259182723966</v>
      </c>
      <c r="L33" s="10">
        <f ca="1">'Annual Model'!L103</f>
        <v>-525.07848419638526</v>
      </c>
      <c r="M33" s="10">
        <f ca="1">'Annual Model'!M103</f>
        <v>-510.78980417080322</v>
      </c>
    </row>
    <row r="34" spans="2:13" x14ac:dyDescent="0.2">
      <c r="B34" s="7" t="s">
        <v>271</v>
      </c>
      <c r="C34" s="78">
        <f>'Annual Model'!C108</f>
        <v>-2463</v>
      </c>
      <c r="D34" s="78">
        <f>'Annual Model'!D108</f>
        <v>-2566</v>
      </c>
      <c r="E34" s="78">
        <f>'Annual Model'!E108</f>
        <v>-3119</v>
      </c>
      <c r="F34" s="78">
        <f>'Annual Model'!F108</f>
        <v>-3226</v>
      </c>
      <c r="G34" s="78">
        <f>'Annual Model'!G108</f>
        <v>-3083.9138000000003</v>
      </c>
      <c r="H34" s="78">
        <f>'Annual Model'!H108</f>
        <v>-3176.4312140000002</v>
      </c>
      <c r="I34" s="78">
        <f>'Annual Model'!I108</f>
        <v>-3303.4884625599998</v>
      </c>
      <c r="J34" s="78">
        <f>'Annual Model'!J108</f>
        <v>-3445.5384664500798</v>
      </c>
      <c r="K34" s="78">
        <f>'Annual Model'!K108</f>
        <v>-3583.360005108083</v>
      </c>
      <c r="L34" s="78">
        <f>'Annual Model'!L108</f>
        <v>-3717.7360052996369</v>
      </c>
      <c r="M34" s="78">
        <f>'Annual Model'!M108</f>
        <v>-3847.8567654851236</v>
      </c>
    </row>
    <row r="35" spans="2:13" x14ac:dyDescent="0.2">
      <c r="B35" s="1" t="s">
        <v>270</v>
      </c>
      <c r="C35" s="36">
        <f>SUM(C30:C34)</f>
        <v>16185.145482388973</v>
      </c>
      <c r="D35" s="36">
        <f t="shared" ref="D35:M35" si="2">SUM(D30:D34)</f>
        <v>13950.057689653586</v>
      </c>
      <c r="E35" s="36">
        <f t="shared" si="2"/>
        <v>12884.682208479779</v>
      </c>
      <c r="F35" s="36">
        <f t="shared" si="2"/>
        <v>19095.467325838184</v>
      </c>
      <c r="G35" s="36">
        <f t="shared" ca="1" si="2"/>
        <v>20439.550774099553</v>
      </c>
      <c r="H35" s="36">
        <f t="shared" ca="1" si="2"/>
        <v>17881.119705372748</v>
      </c>
      <c r="I35" s="36">
        <f t="shared" ca="1" si="2"/>
        <v>18158.604932090271</v>
      </c>
      <c r="J35" s="36">
        <f t="shared" ca="1" si="2"/>
        <v>18606.407805686729</v>
      </c>
      <c r="K35" s="36">
        <f t="shared" ca="1" si="2"/>
        <v>19131.704769407024</v>
      </c>
      <c r="L35" s="36">
        <f t="shared" ca="1" si="2"/>
        <v>19657.724044266768</v>
      </c>
      <c r="M35" s="36">
        <f t="shared" ca="1" si="2"/>
        <v>20279.965760730509</v>
      </c>
    </row>
    <row r="36" spans="2:13" x14ac:dyDescent="0.2">
      <c r="B36" s="8" t="s">
        <v>292</v>
      </c>
      <c r="C36" s="61">
        <f>C35/'Annual Model'!C10</f>
        <v>0.12251264463241975</v>
      </c>
      <c r="D36" s="61">
        <f>D35/'Annual Model'!D10</f>
        <v>9.2288532384564304E-2</v>
      </c>
      <c r="E36" s="61">
        <f>E35/'Annual Model'!E10</f>
        <v>8.1857920169753934E-2</v>
      </c>
      <c r="F36" s="61">
        <f>F35/'Annual Model'!F10</f>
        <v>0.12507756863435396</v>
      </c>
      <c r="G36" s="61">
        <f ca="1">G35/'Annual Model'!G10</f>
        <v>0.13255591498114863</v>
      </c>
      <c r="H36" s="61">
        <f ca="1">H35/'Annual Model'!H10</f>
        <v>0.11258622334752531</v>
      </c>
      <c r="I36" s="61">
        <f ca="1">I35/'Annual Model'!I10</f>
        <v>0.10993593674014815</v>
      </c>
      <c r="J36" s="61">
        <f ca="1">J35/'Annual Model'!J10</f>
        <v>0.10800290280814548</v>
      </c>
      <c r="K36" s="61">
        <f ca="1">K35/'Annual Model'!K10</f>
        <v>0.10678081321516543</v>
      </c>
      <c r="L36" s="61">
        <f ca="1">L35/'Annual Model'!L10</f>
        <v>0.10575104857496423</v>
      </c>
      <c r="M36" s="61">
        <f ca="1">M35/'Annual Model'!M10</f>
        <v>0.105409151102711</v>
      </c>
    </row>
    <row r="38" spans="2:13" x14ac:dyDescent="0.2">
      <c r="B38" s="16" t="s">
        <v>284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 spans="2:13" x14ac:dyDescent="0.2">
      <c r="B39" s="2" t="s">
        <v>280</v>
      </c>
      <c r="C39" s="10">
        <f>'Annual Model'!C25</f>
        <v>12866</v>
      </c>
      <c r="D39" s="10">
        <f>'Annual Model'!D25</f>
        <v>16433</v>
      </c>
      <c r="E39" s="10">
        <f>'Annual Model'!E25</f>
        <v>17105</v>
      </c>
      <c r="F39" s="10">
        <f>'Annual Model'!F25</f>
        <v>15143</v>
      </c>
      <c r="G39" s="10">
        <f ca="1">'Annual Model'!G25</f>
        <v>15201.470448310798</v>
      </c>
      <c r="H39" s="10">
        <f ca="1">'Annual Model'!H25</f>
        <v>15671.390138310895</v>
      </c>
      <c r="I39" s="10">
        <f ca="1">'Annual Model'!I25</f>
        <v>16331.909614330594</v>
      </c>
      <c r="J39" s="10">
        <f ca="1">'Annual Model'!J25</f>
        <v>17063.091629832295</v>
      </c>
      <c r="K39" s="10">
        <f ca="1">'Annual Model'!K25</f>
        <v>17759.738162856724</v>
      </c>
      <c r="L39" s="10">
        <f ca="1">'Annual Model'!L25</f>
        <v>18432.921201835175</v>
      </c>
      <c r="M39" s="10">
        <f ca="1">'Annual Model'!M25</f>
        <v>19079.232822790407</v>
      </c>
    </row>
    <row r="40" spans="2:13" x14ac:dyDescent="0.2">
      <c r="B40" s="2" t="s">
        <v>277</v>
      </c>
      <c r="C40" s="10">
        <f>'Annual Model'!C88</f>
        <v>2519</v>
      </c>
      <c r="D40" s="10">
        <f>'Annual Model'!D88</f>
        <v>2862</v>
      </c>
      <c r="E40" s="10">
        <f>'Annual Model'!E88</f>
        <v>2975</v>
      </c>
      <c r="F40" s="10">
        <f>'Annual Model'!F88</f>
        <v>3247</v>
      </c>
      <c r="G40" s="10">
        <f>'Annual Model'!G88</f>
        <v>3411.3956899999998</v>
      </c>
      <c r="H40" s="10">
        <f>'Annual Model'!H88</f>
        <v>3570.2172507</v>
      </c>
      <c r="I40" s="10">
        <f>'Annual Model'!I88</f>
        <v>3735.391673828</v>
      </c>
      <c r="J40" s="10">
        <f>'Annual Model'!J88</f>
        <v>3907.668597150504</v>
      </c>
      <c r="K40" s="10">
        <f>'Annual Model'!K88</f>
        <v>4086.8365974059079</v>
      </c>
      <c r="L40" s="10">
        <f>'Annual Model'!L88</f>
        <v>4272.7233976708894</v>
      </c>
      <c r="M40" s="10">
        <f>'Annual Model'!M88</f>
        <v>4465.1162359451455</v>
      </c>
    </row>
    <row r="41" spans="2:13" x14ac:dyDescent="0.2">
      <c r="B41" s="2" t="s">
        <v>278</v>
      </c>
      <c r="C41" s="10">
        <f>'Annual Model'!C93</f>
        <v>-569</v>
      </c>
      <c r="D41" s="10">
        <f>'Annual Model'!D93</f>
        <v>-276</v>
      </c>
      <c r="E41" s="10">
        <f>'Annual Model'!E93</f>
        <v>138</v>
      </c>
      <c r="F41" s="10">
        <f>'Annual Model'!F93</f>
        <v>-245</v>
      </c>
      <c r="G41" s="10">
        <f>'Annual Model'!G93</f>
        <v>678.81341399999985</v>
      </c>
      <c r="H41" s="10">
        <f>'Annual Model'!H93</f>
        <v>688.53215729999999</v>
      </c>
      <c r="I41" s="10">
        <f>'Annual Model'!I93</f>
        <v>497.6185389672001</v>
      </c>
      <c r="J41" s="10">
        <f>'Annual Model'!J93</f>
        <v>341.98311559887833</v>
      </c>
      <c r="K41" s="10">
        <f>'Annual Model'!K93</f>
        <v>214.36357915406157</v>
      </c>
      <c r="L41" s="10">
        <f>'Annual Model'!L93</f>
        <v>108.37019370723043</v>
      </c>
      <c r="M41" s="10">
        <f>'Annual Model'!M93</f>
        <v>117.08913616159349</v>
      </c>
    </row>
    <row r="42" spans="2:13" x14ac:dyDescent="0.2">
      <c r="B42" s="2" t="s">
        <v>279</v>
      </c>
      <c r="C42" s="10">
        <f>'Annual Model'!C103</f>
        <v>2847</v>
      </c>
      <c r="D42" s="10">
        <f>'Annual Model'!D103</f>
        <v>-3488</v>
      </c>
      <c r="E42" s="10">
        <f>'Annual Model'!E103</f>
        <v>-5403</v>
      </c>
      <c r="F42" s="10">
        <f>'Annual Model'!F103</f>
        <v>2835</v>
      </c>
      <c r="G42" s="10">
        <f ca="1">'Annual Model'!G103</f>
        <v>2655.6603859326769</v>
      </c>
      <c r="H42" s="10">
        <f ca="1">'Annual Model'!H103</f>
        <v>-361.41703918713733</v>
      </c>
      <c r="I42" s="10">
        <f ca="1">'Annual Model'!I103</f>
        <v>-492.01154914993162</v>
      </c>
      <c r="J42" s="10">
        <f ca="1">'Annual Model'!J103</f>
        <v>-549.87678332567862</v>
      </c>
      <c r="K42" s="10">
        <f ca="1">'Annual Model'!K103</f>
        <v>-536.2259182723966</v>
      </c>
      <c r="L42" s="10">
        <f ca="1">'Annual Model'!L103</f>
        <v>-525.07848419638526</v>
      </c>
      <c r="M42" s="10">
        <f ca="1">'Annual Model'!M103</f>
        <v>-510.78980417080322</v>
      </c>
    </row>
    <row r="43" spans="2:13" x14ac:dyDescent="0.2">
      <c r="B43" s="2" t="s">
        <v>271</v>
      </c>
      <c r="C43" s="10">
        <f>'Annual Model'!C108</f>
        <v>-2463</v>
      </c>
      <c r="D43" s="10">
        <f>'Annual Model'!D108</f>
        <v>-2566</v>
      </c>
      <c r="E43" s="10">
        <f>'Annual Model'!E108</f>
        <v>-3119</v>
      </c>
      <c r="F43" s="10">
        <f>'Annual Model'!F108</f>
        <v>-3226</v>
      </c>
      <c r="G43" s="10">
        <f>'Annual Model'!G108</f>
        <v>-3083.9138000000003</v>
      </c>
      <c r="H43" s="10">
        <f>'Annual Model'!H108</f>
        <v>-3176.4312140000002</v>
      </c>
      <c r="I43" s="10">
        <f>'Annual Model'!I108</f>
        <v>-3303.4884625599998</v>
      </c>
      <c r="J43" s="10">
        <f>'Annual Model'!J108</f>
        <v>-3445.5384664500798</v>
      </c>
      <c r="K43" s="10">
        <f>'Annual Model'!K108</f>
        <v>-3583.360005108083</v>
      </c>
      <c r="L43" s="10">
        <f>'Annual Model'!L108</f>
        <v>-3717.7360052996369</v>
      </c>
      <c r="M43" s="10">
        <f>'Annual Model'!M108</f>
        <v>-3847.8567654851236</v>
      </c>
    </row>
    <row r="44" spans="2:13" x14ac:dyDescent="0.2">
      <c r="B44" s="2" t="s">
        <v>281</v>
      </c>
      <c r="C44" s="10">
        <f>'Annual Model'!C117</f>
        <v>-2872</v>
      </c>
      <c r="D44" s="10">
        <f>'Annual Model'!D117</f>
        <v>-1532</v>
      </c>
      <c r="E44" s="10">
        <f>'Annual Model'!E117</f>
        <v>-2491</v>
      </c>
      <c r="F44" s="10">
        <f>'Annual Model'!F117</f>
        <v>-1271</v>
      </c>
      <c r="G44" s="10">
        <f>'Annual Model'!G117</f>
        <v>-1100</v>
      </c>
      <c r="H44" s="10">
        <f>'Annual Model'!H117</f>
        <v>-2750</v>
      </c>
      <c r="I44" s="10">
        <f>'Annual Model'!I117</f>
        <v>-3050</v>
      </c>
      <c r="J44" s="10">
        <f>'Annual Model'!J117</f>
        <v>-2500</v>
      </c>
      <c r="K44" s="10">
        <f>'Annual Model'!K117</f>
        <v>-2500</v>
      </c>
      <c r="L44" s="10">
        <f>'Annual Model'!L117</f>
        <v>-2500</v>
      </c>
      <c r="M44" s="10">
        <f>'Annual Model'!M117</f>
        <v>-2500</v>
      </c>
    </row>
    <row r="45" spans="2:13" x14ac:dyDescent="0.2">
      <c r="B45" s="2" t="s">
        <v>282</v>
      </c>
      <c r="C45" s="70">
        <v>0</v>
      </c>
      <c r="D45" s="70">
        <v>0</v>
      </c>
      <c r="E45" s="70">
        <v>0</v>
      </c>
      <c r="F45" s="70">
        <v>0</v>
      </c>
      <c r="G45" s="70">
        <v>0</v>
      </c>
      <c r="H45" s="70">
        <v>0</v>
      </c>
      <c r="I45" s="70">
        <v>0</v>
      </c>
      <c r="J45" s="70">
        <v>0</v>
      </c>
      <c r="K45" s="70">
        <v>0</v>
      </c>
      <c r="L45" s="70">
        <v>0</v>
      </c>
      <c r="M45" s="70">
        <v>0</v>
      </c>
    </row>
    <row r="46" spans="2:13" x14ac:dyDescent="0.2">
      <c r="B46" s="1" t="s">
        <v>284</v>
      </c>
      <c r="C46" s="36">
        <f>SUM(C39:C45)</f>
        <v>12328</v>
      </c>
      <c r="D46" s="36">
        <f t="shared" ref="D46:M46" si="3">SUM(D39:D45)</f>
        <v>11433</v>
      </c>
      <c r="E46" s="36">
        <f t="shared" si="3"/>
        <v>9205</v>
      </c>
      <c r="F46" s="36">
        <f t="shared" si="3"/>
        <v>16483</v>
      </c>
      <c r="G46" s="36">
        <f t="shared" ca="1" si="3"/>
        <v>17763.426138243471</v>
      </c>
      <c r="H46" s="36">
        <f t="shared" ca="1" si="3"/>
        <v>13642.291293123759</v>
      </c>
      <c r="I46" s="36">
        <f t="shared" ca="1" si="3"/>
        <v>13719.419815415862</v>
      </c>
      <c r="J46" s="36">
        <f t="shared" ca="1" si="3"/>
        <v>14817.328092805918</v>
      </c>
      <c r="K46" s="36">
        <f t="shared" ca="1" si="3"/>
        <v>15441.352416036214</v>
      </c>
      <c r="L46" s="36">
        <f t="shared" ca="1" si="3"/>
        <v>16071.200303717269</v>
      </c>
      <c r="M46" s="36">
        <f t="shared" ca="1" si="3"/>
        <v>16802.791625241218</v>
      </c>
    </row>
    <row r="47" spans="2:13" x14ac:dyDescent="0.2">
      <c r="B47" s="8" t="s">
        <v>293</v>
      </c>
      <c r="C47" s="61">
        <f>C46/'Annual Model'!C10</f>
        <v>9.3316175914011049E-2</v>
      </c>
      <c r="D47" s="61">
        <f>D46/'Annual Model'!D10</f>
        <v>7.5636589770900459E-2</v>
      </c>
      <c r="E47" s="61">
        <f>E46/'Annual Model'!E10</f>
        <v>5.8480460982319273E-2</v>
      </c>
      <c r="F47" s="61">
        <f>F46/'Annual Model'!F10</f>
        <v>0.10796559877905797</v>
      </c>
      <c r="G47" s="61">
        <f ca="1">G46/'Annual Model'!G10</f>
        <v>0.11520053600877865</v>
      </c>
      <c r="H47" s="61">
        <f ca="1">H46/'Annual Model'!H10</f>
        <v>8.5896972885771167E-2</v>
      </c>
      <c r="I47" s="61">
        <f ca="1">I46/'Annual Model'!I10</f>
        <v>8.3060195129509601E-2</v>
      </c>
      <c r="J47" s="61">
        <f ca="1">J46/'Annual Model'!J10</f>
        <v>8.6008780555406963E-2</v>
      </c>
      <c r="K47" s="61">
        <f ca="1">K46/'Annual Model'!K10</f>
        <v>8.6183651065059333E-2</v>
      </c>
      <c r="L47" s="61">
        <f ca="1">L46/'Annual Model'!L10</f>
        <v>8.6456920452704311E-2</v>
      </c>
      <c r="M47" s="61">
        <f ca="1">M46/'Annual Model'!M10</f>
        <v>8.7335847716373011E-2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BEBF-B1E9-4463-9DC0-FAFAED812732}">
  <dimension ref="B1:T72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25" sqref="E25"/>
    </sheetView>
  </sheetViews>
  <sheetFormatPr defaultColWidth="8.85546875" defaultRowHeight="12" x14ac:dyDescent="0.2"/>
  <cols>
    <col min="1" max="1" width="2.7109375" style="2" customWidth="1"/>
    <col min="2" max="2" width="52" style="2" customWidth="1"/>
    <col min="3" max="3" width="8.85546875" style="2"/>
    <col min="4" max="4" width="10.140625" style="2" bestFit="1" customWidth="1"/>
    <col min="5" max="13" width="8.85546875" style="2"/>
    <col min="14" max="14" width="6.140625" style="2" customWidth="1"/>
    <col min="15" max="15" width="3.7109375" style="2" customWidth="1"/>
    <col min="16" max="16" width="33.140625" style="2" customWidth="1"/>
    <col min="17" max="17" width="14" style="2" customWidth="1"/>
    <col min="18" max="18" width="8.85546875" style="2"/>
    <col min="19" max="19" width="29.28515625" style="2" customWidth="1"/>
    <col min="20" max="20" width="19.85546875" style="2" customWidth="1"/>
    <col min="21" max="16384" width="8.85546875" style="2"/>
  </cols>
  <sheetData>
    <row r="1" spans="2:20" ht="20.25" x14ac:dyDescent="0.3">
      <c r="B1" s="14" t="s">
        <v>0</v>
      </c>
    </row>
    <row r="2" spans="2:20" x14ac:dyDescent="0.2">
      <c r="B2" s="1" t="s">
        <v>294</v>
      </c>
    </row>
    <row r="3" spans="2:20" x14ac:dyDescent="0.2">
      <c r="B3" s="1" t="s">
        <v>405</v>
      </c>
    </row>
    <row r="5" spans="2:20" x14ac:dyDescent="0.2">
      <c r="B5" s="2" t="s">
        <v>3</v>
      </c>
      <c r="C5" s="4">
        <f>DATE(2021,1,31)</f>
        <v>44227</v>
      </c>
      <c r="D5" s="4">
        <f>DATE(2022,1,30)</f>
        <v>44591</v>
      </c>
      <c r="E5" s="4">
        <f>DATE(2022,1,29)</f>
        <v>44590</v>
      </c>
      <c r="F5" s="4">
        <f>DATE(2024,1,28)</f>
        <v>45319</v>
      </c>
      <c r="G5" s="153" t="s">
        <v>155</v>
      </c>
      <c r="H5" s="153"/>
      <c r="I5" s="153"/>
      <c r="J5" s="153"/>
      <c r="K5" s="153"/>
      <c r="L5" s="153"/>
      <c r="M5" s="153"/>
    </row>
    <row r="6" spans="2:20" x14ac:dyDescent="0.2">
      <c r="B6" s="2" t="s">
        <v>63</v>
      </c>
      <c r="C6" s="30" t="s">
        <v>158</v>
      </c>
      <c r="D6" s="15" t="s">
        <v>159</v>
      </c>
      <c r="E6" s="15" t="s">
        <v>160</v>
      </c>
      <c r="F6" s="15" t="s">
        <v>334</v>
      </c>
      <c r="G6" s="15" t="s">
        <v>33</v>
      </c>
      <c r="H6" s="15" t="s">
        <v>38</v>
      </c>
      <c r="I6" s="15" t="s">
        <v>39</v>
      </c>
      <c r="J6" s="15" t="s">
        <v>40</v>
      </c>
      <c r="K6" s="15" t="s">
        <v>41</v>
      </c>
      <c r="L6" s="15" t="s">
        <v>42</v>
      </c>
      <c r="M6" s="15" t="s">
        <v>333</v>
      </c>
    </row>
    <row r="7" spans="2:20" x14ac:dyDescent="0.2">
      <c r="C7" s="31"/>
      <c r="D7" s="1"/>
      <c r="E7" s="1"/>
      <c r="F7" s="1"/>
      <c r="G7" s="1"/>
      <c r="H7" s="1"/>
      <c r="I7" s="1"/>
      <c r="J7" s="1"/>
      <c r="K7" s="1"/>
      <c r="L7" s="1"/>
      <c r="M7" s="1"/>
    </row>
    <row r="8" spans="2:20" x14ac:dyDescent="0.2">
      <c r="C8" s="31"/>
      <c r="D8" s="1"/>
      <c r="E8" s="1"/>
      <c r="F8" s="1"/>
      <c r="G8" s="1"/>
      <c r="H8" s="1"/>
      <c r="I8" s="1"/>
      <c r="J8" s="1"/>
      <c r="K8" s="1"/>
      <c r="L8" s="1"/>
      <c r="M8" s="1"/>
    </row>
    <row r="10" spans="2:20" x14ac:dyDescent="0.2">
      <c r="B10" s="5" t="s">
        <v>294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P10" s="154" t="s">
        <v>323</v>
      </c>
      <c r="Q10" s="154"/>
      <c r="S10" s="154" t="s">
        <v>355</v>
      </c>
      <c r="T10" s="154"/>
    </row>
    <row r="11" spans="2:20" x14ac:dyDescent="0.2">
      <c r="B11" s="16" t="s">
        <v>43</v>
      </c>
      <c r="C11" s="17">
        <f>'Annual Model'!C10</f>
        <v>132110</v>
      </c>
      <c r="D11" s="17">
        <f>'Annual Model'!D10</f>
        <v>151157</v>
      </c>
      <c r="E11" s="17">
        <f>'Annual Model'!E10</f>
        <v>157403</v>
      </c>
      <c r="F11" s="17">
        <f>'Annual Model'!F10</f>
        <v>152669</v>
      </c>
      <c r="G11" s="18">
        <f>'Annual Model'!G10</f>
        <v>154195.69</v>
      </c>
      <c r="H11" s="18">
        <f>'Annual Model'!H10</f>
        <v>158821.5607</v>
      </c>
      <c r="I11" s="18">
        <f>'Annual Model'!I10</f>
        <v>165174.42312799999</v>
      </c>
      <c r="J11" s="18">
        <f>'Annual Model'!J10</f>
        <v>172276.92332250398</v>
      </c>
      <c r="K11" s="18">
        <f>'Annual Model'!K10</f>
        <v>179168.00025540416</v>
      </c>
      <c r="L11" s="18">
        <f>'Annual Model'!L10</f>
        <v>185886.80026498184</v>
      </c>
      <c r="M11" s="18">
        <f>'Annual Model'!M10</f>
        <v>192392.83827425618</v>
      </c>
      <c r="P11" s="2" t="s">
        <v>322</v>
      </c>
      <c r="Q11" s="10">
        <f ca="1">SUM(G37:M37)</f>
        <v>89503.912338362279</v>
      </c>
      <c r="S11" s="2" t="s">
        <v>322</v>
      </c>
      <c r="T11" s="10">
        <f ca="1">SUM(G37:M37)</f>
        <v>89503.912338362279</v>
      </c>
    </row>
    <row r="12" spans="2:20" x14ac:dyDescent="0.2">
      <c r="B12" s="8" t="s">
        <v>295</v>
      </c>
      <c r="D12" s="91">
        <f>D11/C11-1</f>
        <v>0.14417530845507542</v>
      </c>
      <c r="E12" s="91">
        <f t="shared" ref="E12:M12" si="0">E11/D11-1</f>
        <v>4.1321275230389531E-2</v>
      </c>
      <c r="F12" s="91">
        <f t="shared" si="0"/>
        <v>-3.0075665648049865E-2</v>
      </c>
      <c r="G12" s="91">
        <f t="shared" si="0"/>
        <v>1.0000000000000009E-2</v>
      </c>
      <c r="H12" s="91">
        <f t="shared" si="0"/>
        <v>3.0000000000000027E-2</v>
      </c>
      <c r="I12" s="91">
        <f t="shared" si="0"/>
        <v>4.0000000000000036E-2</v>
      </c>
      <c r="J12" s="91">
        <f t="shared" si="0"/>
        <v>4.2999999999999927E-2</v>
      </c>
      <c r="K12" s="91">
        <f t="shared" si="0"/>
        <v>4.0000000000000036E-2</v>
      </c>
      <c r="L12" s="91">
        <f t="shared" si="0"/>
        <v>3.7500000000000089E-2</v>
      </c>
      <c r="M12" s="91">
        <f t="shared" si="0"/>
        <v>3.499999999999992E-2</v>
      </c>
      <c r="P12" s="2" t="s">
        <v>356</v>
      </c>
      <c r="Q12" s="10">
        <f ca="1">M33</f>
        <v>18824.051405609775</v>
      </c>
      <c r="S12" s="2" t="s">
        <v>364</v>
      </c>
      <c r="T12" s="10">
        <f>M18</f>
        <v>29516.300172617186</v>
      </c>
    </row>
    <row r="13" spans="2:20" x14ac:dyDescent="0.2">
      <c r="B13" s="2" t="s">
        <v>66</v>
      </c>
      <c r="C13" s="11">
        <f>'Annual Model'!C11</f>
        <v>87257</v>
      </c>
      <c r="D13" s="11">
        <f>'Annual Model'!D11</f>
        <v>100325</v>
      </c>
      <c r="E13" s="11">
        <f>'Annual Model'!E11</f>
        <v>104625</v>
      </c>
      <c r="F13" s="11">
        <f>'Annual Model'!F11</f>
        <v>101709</v>
      </c>
      <c r="G13" s="10">
        <f>'Annual Model'!G11</f>
        <v>102848.52523000001</v>
      </c>
      <c r="H13" s="10">
        <f>'Annual Model'!H11</f>
        <v>106092.8025476</v>
      </c>
      <c r="I13" s="10">
        <f>'Annual Model'!I11</f>
        <v>110501.689072632</v>
      </c>
      <c r="J13" s="10">
        <f>'Annual Model'!J11</f>
        <v>115425.53862607767</v>
      </c>
      <c r="K13" s="10">
        <f>'Annual Model'!K11</f>
        <v>120221.72817137619</v>
      </c>
      <c r="L13" s="10">
        <f>'Annual Model'!L11</f>
        <v>124915.9297780678</v>
      </c>
      <c r="M13" s="10">
        <f>'Annual Model'!M11</f>
        <v>129480.38015857442</v>
      </c>
      <c r="P13" s="2" t="s">
        <v>357</v>
      </c>
      <c r="Q13" s="61">
        <v>2.1000000000000001E-2</v>
      </c>
      <c r="S13" s="2" t="s">
        <v>365</v>
      </c>
      <c r="T13" s="89">
        <f>WACC!G21/DCF!T12</f>
        <v>15.218820020563896</v>
      </c>
    </row>
    <row r="14" spans="2:20" x14ac:dyDescent="0.2">
      <c r="B14" s="8" t="s">
        <v>246</v>
      </c>
      <c r="C14" s="91">
        <f>C15/C11</f>
        <v>0.33951252743925514</v>
      </c>
      <c r="D14" s="91">
        <f t="shared" ref="D14:M14" si="1">D15/D11</f>
        <v>0.33628611311417927</v>
      </c>
      <c r="E14" s="91">
        <f t="shared" si="1"/>
        <v>0.33530491794946732</v>
      </c>
      <c r="F14" s="91">
        <f t="shared" si="1"/>
        <v>0.33379402498215094</v>
      </c>
      <c r="G14" s="91">
        <f t="shared" si="1"/>
        <v>0.33299999999999991</v>
      </c>
      <c r="H14" s="91">
        <f t="shared" si="1"/>
        <v>0.33199999999999996</v>
      </c>
      <c r="I14" s="91">
        <f t="shared" si="1"/>
        <v>0.33100000000000002</v>
      </c>
      <c r="J14" s="91">
        <f t="shared" si="1"/>
        <v>0.32999999999999996</v>
      </c>
      <c r="K14" s="91">
        <f t="shared" si="1"/>
        <v>0.32900000000000001</v>
      </c>
      <c r="L14" s="91">
        <f t="shared" si="1"/>
        <v>0.32799999999999996</v>
      </c>
      <c r="M14" s="91">
        <f t="shared" si="1"/>
        <v>0.32699999999999996</v>
      </c>
      <c r="P14" s="2" t="s">
        <v>358</v>
      </c>
      <c r="Q14" s="10">
        <f ca="1">(Q12*(1+Q13)/(M35-Q13))</f>
        <v>290380.68175181234</v>
      </c>
      <c r="S14" s="2" t="s">
        <v>358</v>
      </c>
      <c r="T14" s="10">
        <f>T12*T13</f>
        <v>449203.26</v>
      </c>
    </row>
    <row r="15" spans="2:20" x14ac:dyDescent="0.2">
      <c r="B15" s="16" t="s">
        <v>44</v>
      </c>
      <c r="C15" s="18">
        <f>C11-C13</f>
        <v>44853</v>
      </c>
      <c r="D15" s="18">
        <f t="shared" ref="D15:M15" si="2">D11-D13</f>
        <v>50832</v>
      </c>
      <c r="E15" s="18">
        <f t="shared" si="2"/>
        <v>52778</v>
      </c>
      <c r="F15" s="18">
        <f t="shared" si="2"/>
        <v>50960</v>
      </c>
      <c r="G15" s="18">
        <f t="shared" si="2"/>
        <v>51347.164769999988</v>
      </c>
      <c r="H15" s="18">
        <f t="shared" si="2"/>
        <v>52728.758152399998</v>
      </c>
      <c r="I15" s="18">
        <f t="shared" si="2"/>
        <v>54672.734055367997</v>
      </c>
      <c r="J15" s="18">
        <f t="shared" si="2"/>
        <v>56851.384696426307</v>
      </c>
      <c r="K15" s="18">
        <f t="shared" si="2"/>
        <v>58946.272084027965</v>
      </c>
      <c r="L15" s="18">
        <f t="shared" si="2"/>
        <v>60970.870486914035</v>
      </c>
      <c r="M15" s="18">
        <f t="shared" si="2"/>
        <v>62912.458115681758</v>
      </c>
      <c r="P15" s="2" t="s">
        <v>324</v>
      </c>
      <c r="Q15" s="10">
        <f ca="1">Q14/(1+M35)^M34</f>
        <v>161747.8947809432</v>
      </c>
      <c r="S15" s="2" t="s">
        <v>324</v>
      </c>
      <c r="T15" s="10">
        <f>T14/(1+M35)^M34</f>
        <v>250215.27325924876</v>
      </c>
    </row>
    <row r="16" spans="2:20" x14ac:dyDescent="0.2">
      <c r="B16" s="9" t="s">
        <v>46</v>
      </c>
      <c r="C16" s="11">
        <f>'Annual Model'!C14</f>
        <v>24447</v>
      </c>
      <c r="D16" s="11">
        <f>'Annual Model'!D14</f>
        <v>25406</v>
      </c>
      <c r="E16" s="11">
        <f>'Annual Model'!E14</f>
        <v>26284</v>
      </c>
      <c r="F16" s="11">
        <f>'Annual Model'!F14</f>
        <v>26598</v>
      </c>
      <c r="G16" s="10">
        <f>'Annual Model'!G14</f>
        <v>26765.776021450147</v>
      </c>
      <c r="H16" s="10">
        <f>'Annual Model'!H14</f>
        <v>27568.749302093653</v>
      </c>
      <c r="I16" s="10">
        <f>'Annual Model'!I14</f>
        <v>28671.499274177397</v>
      </c>
      <c r="J16" s="10">
        <f>'Annual Model'!J14</f>
        <v>29904.373742967022</v>
      </c>
      <c r="K16" s="10">
        <f>'Annual Model'!K14</f>
        <v>31100.548692685705</v>
      </c>
      <c r="L16" s="10">
        <f>'Annual Model'!L14</f>
        <v>32266.819268661424</v>
      </c>
      <c r="M16" s="10">
        <f>'Annual Model'!M14</f>
        <v>33396.157943064572</v>
      </c>
      <c r="P16" s="93" t="s">
        <v>359</v>
      </c>
      <c r="Q16" s="105">
        <f ca="1">Q15+Q11</f>
        <v>251251.80711930548</v>
      </c>
      <c r="S16" s="93" t="s">
        <v>359</v>
      </c>
      <c r="T16" s="105">
        <f ca="1">T11+T15</f>
        <v>339719.18559761101</v>
      </c>
    </row>
    <row r="17" spans="2:20" x14ac:dyDescent="0.2">
      <c r="B17" s="8" t="s">
        <v>149</v>
      </c>
      <c r="C17" s="91">
        <f>C16/C11</f>
        <v>0.1850503368405117</v>
      </c>
      <c r="D17" s="91">
        <f t="shared" ref="D17:M17" si="3">D16/D11</f>
        <v>0.16807690017663754</v>
      </c>
      <c r="E17" s="91">
        <f t="shared" si="3"/>
        <v>0.16698538147303418</v>
      </c>
      <c r="F17" s="91">
        <f t="shared" si="3"/>
        <v>0.17422004467180632</v>
      </c>
      <c r="G17" s="91">
        <f t="shared" si="3"/>
        <v>0.17358316579049743</v>
      </c>
      <c r="H17" s="91">
        <f t="shared" si="3"/>
        <v>0.17358316579049743</v>
      </c>
      <c r="I17" s="91">
        <f t="shared" si="3"/>
        <v>0.17358316579049743</v>
      </c>
      <c r="J17" s="91">
        <f t="shared" si="3"/>
        <v>0.17358316579049743</v>
      </c>
      <c r="K17" s="91">
        <f t="shared" si="3"/>
        <v>0.17358316579049743</v>
      </c>
      <c r="L17" s="91">
        <f t="shared" si="3"/>
        <v>0.17358316579049743</v>
      </c>
      <c r="M17" s="91">
        <f t="shared" si="3"/>
        <v>0.17358316579049743</v>
      </c>
      <c r="P17" s="7" t="s">
        <v>325</v>
      </c>
      <c r="Q17" s="10">
        <v>1531</v>
      </c>
      <c r="S17" s="7" t="s">
        <v>325</v>
      </c>
      <c r="T17" s="10">
        <v>1531</v>
      </c>
    </row>
    <row r="18" spans="2:20" x14ac:dyDescent="0.2">
      <c r="B18" s="16" t="s">
        <v>48</v>
      </c>
      <c r="C18" s="20">
        <f>C22+C20</f>
        <v>20406</v>
      </c>
      <c r="D18" s="20">
        <f t="shared" ref="D18:M18" si="4">D22+D20</f>
        <v>25426</v>
      </c>
      <c r="E18" s="20">
        <f t="shared" si="4"/>
        <v>26494</v>
      </c>
      <c r="F18" s="20">
        <f t="shared" si="4"/>
        <v>24362</v>
      </c>
      <c r="G18" s="20">
        <f t="shared" si="4"/>
        <v>24581.388748549842</v>
      </c>
      <c r="H18" s="20">
        <f t="shared" si="4"/>
        <v>25160.008850306345</v>
      </c>
      <c r="I18" s="20">
        <f t="shared" si="4"/>
        <v>26001.2347811906</v>
      </c>
      <c r="J18" s="20">
        <f t="shared" si="4"/>
        <v>26947.010953459285</v>
      </c>
      <c r="K18" s="20">
        <f t="shared" si="4"/>
        <v>27845.723391342261</v>
      </c>
      <c r="L18" s="20">
        <f t="shared" si="4"/>
        <v>28704.051218252611</v>
      </c>
      <c r="M18" s="20">
        <f t="shared" si="4"/>
        <v>29516.300172617186</v>
      </c>
      <c r="P18" s="7" t="s">
        <v>326</v>
      </c>
      <c r="Q18" s="10">
        <v>99</v>
      </c>
      <c r="S18" s="7" t="s">
        <v>326</v>
      </c>
      <c r="T18" s="10">
        <v>99</v>
      </c>
    </row>
    <row r="19" spans="2:20" x14ac:dyDescent="0.2">
      <c r="B19" s="8" t="s">
        <v>249</v>
      </c>
      <c r="C19" s="91">
        <f>C18/C11</f>
        <v>0.15446219059874347</v>
      </c>
      <c r="D19" s="91">
        <f t="shared" ref="D19:M19" si="5">D18/D11</f>
        <v>0.16820921293754176</v>
      </c>
      <c r="E19" s="91">
        <f t="shared" si="5"/>
        <v>0.16831953647643311</v>
      </c>
      <c r="F19" s="91">
        <f t="shared" si="5"/>
        <v>0.15957398031034462</v>
      </c>
      <c r="G19" s="91">
        <f t="shared" si="5"/>
        <v>0.15941683420950251</v>
      </c>
      <c r="H19" s="91">
        <f t="shared" si="5"/>
        <v>0.15841683420950253</v>
      </c>
      <c r="I19" s="91">
        <f t="shared" si="5"/>
        <v>0.15741683420950256</v>
      </c>
      <c r="J19" s="91">
        <f t="shared" si="5"/>
        <v>0.15641683420950253</v>
      </c>
      <c r="K19" s="91">
        <f t="shared" si="5"/>
        <v>0.15541683420950256</v>
      </c>
      <c r="L19" s="91">
        <f t="shared" si="5"/>
        <v>0.15441683420950253</v>
      </c>
      <c r="M19" s="91">
        <f t="shared" si="5"/>
        <v>0.1534168342095025</v>
      </c>
      <c r="P19" s="7" t="s">
        <v>327</v>
      </c>
      <c r="Q19" s="10">
        <v>-51402</v>
      </c>
      <c r="S19" s="7" t="s">
        <v>327</v>
      </c>
      <c r="T19" s="10">
        <v>-51402</v>
      </c>
    </row>
    <row r="20" spans="2:20" x14ac:dyDescent="0.2">
      <c r="B20" s="2" t="s">
        <v>54</v>
      </c>
      <c r="C20" s="11">
        <f>'Annual Model'!C16</f>
        <v>2128</v>
      </c>
      <c r="D20" s="11">
        <f>'Annual Model'!D16</f>
        <v>2386</v>
      </c>
      <c r="E20" s="11">
        <f>'Annual Model'!E16</f>
        <v>2455</v>
      </c>
      <c r="F20" s="11">
        <f>'Annual Model'!F16</f>
        <v>2673</v>
      </c>
      <c r="G20" s="10">
        <f>'Annual Model'!G16</f>
        <v>2505.6057430671144</v>
      </c>
      <c r="H20" s="10">
        <f>'Annual Model'!H16</f>
        <v>2580.7739153591278</v>
      </c>
      <c r="I20" s="10">
        <f>'Annual Model'!I16</f>
        <v>2684.0048719734928</v>
      </c>
      <c r="J20" s="10">
        <f>'Annual Model'!J16</f>
        <v>2799.4170814683525</v>
      </c>
      <c r="K20" s="10">
        <f>'Annual Model'!K16</f>
        <v>2911.3937647270873</v>
      </c>
      <c r="L20" s="10">
        <f>'Annual Model'!L16</f>
        <v>3020.5710309043534</v>
      </c>
      <c r="M20" s="10">
        <f>'Annual Model'!M16</f>
        <v>3126.2910169860052</v>
      </c>
      <c r="P20" s="7" t="s">
        <v>328</v>
      </c>
      <c r="Q20" s="10">
        <v>0</v>
      </c>
      <c r="S20" s="7" t="s">
        <v>328</v>
      </c>
      <c r="T20" s="10">
        <v>0</v>
      </c>
    </row>
    <row r="21" spans="2:20" x14ac:dyDescent="0.2">
      <c r="B21" s="8" t="s">
        <v>296</v>
      </c>
      <c r="C21" s="91">
        <f>C20/C11</f>
        <v>1.6107788963742337E-2</v>
      </c>
      <c r="D21" s="91">
        <f t="shared" ref="D21:M21" si="6">D20/D11</f>
        <v>1.578491237587409E-2</v>
      </c>
      <c r="E21" s="91">
        <f t="shared" si="6"/>
        <v>1.5596907301639739E-2</v>
      </c>
      <c r="F21" s="91">
        <f t="shared" si="6"/>
        <v>1.7508466027811802E-2</v>
      </c>
      <c r="G21" s="91">
        <f t="shared" si="6"/>
        <v>1.6249518667266993E-2</v>
      </c>
      <c r="H21" s="91">
        <f t="shared" si="6"/>
        <v>1.6249518667266993E-2</v>
      </c>
      <c r="I21" s="91">
        <f t="shared" si="6"/>
        <v>1.6249518667266993E-2</v>
      </c>
      <c r="J21" s="91">
        <f t="shared" si="6"/>
        <v>1.6249518667266993E-2</v>
      </c>
      <c r="K21" s="91">
        <f t="shared" si="6"/>
        <v>1.6249518667266993E-2</v>
      </c>
      <c r="L21" s="91">
        <f t="shared" si="6"/>
        <v>1.6249518667266993E-2</v>
      </c>
      <c r="M21" s="91">
        <f t="shared" si="6"/>
        <v>1.6249518667266993E-2</v>
      </c>
      <c r="P21" s="7" t="s">
        <v>329</v>
      </c>
      <c r="Q21" s="10">
        <v>-8521</v>
      </c>
      <c r="S21" s="7" t="s">
        <v>329</v>
      </c>
      <c r="T21" s="10">
        <v>-8521</v>
      </c>
    </row>
    <row r="22" spans="2:20" x14ac:dyDescent="0.2">
      <c r="B22" s="16" t="s">
        <v>47</v>
      </c>
      <c r="C22" s="20">
        <f>C15-C16-C20</f>
        <v>18278</v>
      </c>
      <c r="D22" s="20">
        <f t="shared" ref="D22:M22" si="7">D15-D16-D20</f>
        <v>23040</v>
      </c>
      <c r="E22" s="20">
        <f t="shared" si="7"/>
        <v>24039</v>
      </c>
      <c r="F22" s="20">
        <f t="shared" si="7"/>
        <v>21689</v>
      </c>
      <c r="G22" s="20">
        <f t="shared" si="7"/>
        <v>22075.783005482728</v>
      </c>
      <c r="H22" s="20">
        <f t="shared" si="7"/>
        <v>22579.234934947217</v>
      </c>
      <c r="I22" s="20">
        <f t="shared" si="7"/>
        <v>23317.229909217109</v>
      </c>
      <c r="J22" s="20">
        <f t="shared" si="7"/>
        <v>24147.593871990932</v>
      </c>
      <c r="K22" s="20">
        <f t="shared" si="7"/>
        <v>24934.329626615174</v>
      </c>
      <c r="L22" s="20">
        <f t="shared" si="7"/>
        <v>25683.480187348257</v>
      </c>
      <c r="M22" s="20">
        <f t="shared" si="7"/>
        <v>26390.009155631182</v>
      </c>
      <c r="P22" s="7" t="s">
        <v>330</v>
      </c>
      <c r="Q22" s="10">
        <v>0</v>
      </c>
      <c r="S22" s="7" t="s">
        <v>330</v>
      </c>
      <c r="T22" s="10">
        <v>0</v>
      </c>
    </row>
    <row r="23" spans="2:20" x14ac:dyDescent="0.2">
      <c r="B23" s="8" t="s">
        <v>295</v>
      </c>
      <c r="C23" s="91"/>
      <c r="D23" s="91">
        <f>D22/C22-1</f>
        <v>0.26053178684757627</v>
      </c>
      <c r="E23" s="91">
        <f t="shared" ref="E23:M23" si="8">E22/D22-1</f>
        <v>4.3359375000000089E-2</v>
      </c>
      <c r="F23" s="91">
        <f t="shared" si="8"/>
        <v>-9.7757810225050923E-2</v>
      </c>
      <c r="G23" s="91">
        <f t="shared" si="8"/>
        <v>1.7833141476450098E-2</v>
      </c>
      <c r="H23" s="91">
        <f t="shared" si="8"/>
        <v>2.280562050004975E-2</v>
      </c>
      <c r="I23" s="91">
        <f t="shared" si="8"/>
        <v>3.2684675826976539E-2</v>
      </c>
      <c r="J23" s="91">
        <f t="shared" si="8"/>
        <v>3.5611604208851011E-2</v>
      </c>
      <c r="K23" s="91">
        <f t="shared" si="8"/>
        <v>3.2580295941484483E-2</v>
      </c>
      <c r="L23" s="91">
        <f t="shared" si="8"/>
        <v>3.0044944939423335E-2</v>
      </c>
      <c r="M23" s="91">
        <f t="shared" si="8"/>
        <v>2.750908222441617E-2</v>
      </c>
      <c r="P23" s="7" t="s">
        <v>331</v>
      </c>
      <c r="Q23" s="10">
        <v>0</v>
      </c>
      <c r="S23" s="7" t="s">
        <v>331</v>
      </c>
      <c r="T23" s="10">
        <v>0</v>
      </c>
    </row>
    <row r="24" spans="2:20" x14ac:dyDescent="0.2">
      <c r="B24" s="8" t="s">
        <v>297</v>
      </c>
      <c r="C24" s="91">
        <f t="shared" ref="C24:M24" si="9">C22/C11</f>
        <v>0.13835440163500112</v>
      </c>
      <c r="D24" s="91">
        <f t="shared" si="9"/>
        <v>0.15242430056166767</v>
      </c>
      <c r="E24" s="91">
        <f t="shared" si="9"/>
        <v>0.15272262917479337</v>
      </c>
      <c r="F24" s="91">
        <f t="shared" si="9"/>
        <v>0.14206551428253281</v>
      </c>
      <c r="G24" s="91">
        <f t="shared" si="9"/>
        <v>0.1431673155422355</v>
      </c>
      <c r="H24" s="91">
        <f t="shared" si="9"/>
        <v>0.14216731554223555</v>
      </c>
      <c r="I24" s="91">
        <f t="shared" si="9"/>
        <v>0.14116731554223558</v>
      </c>
      <c r="J24" s="91">
        <f t="shared" si="9"/>
        <v>0.14016731554223555</v>
      </c>
      <c r="K24" s="91">
        <f t="shared" si="9"/>
        <v>0.13916731554223558</v>
      </c>
      <c r="L24" s="91">
        <f t="shared" si="9"/>
        <v>0.13816731554223555</v>
      </c>
      <c r="M24" s="91">
        <f t="shared" si="9"/>
        <v>0.13716731554223552</v>
      </c>
      <c r="P24" s="93" t="s">
        <v>332</v>
      </c>
      <c r="Q24" s="105">
        <f ca="1">SUM(Q16:Q23)</f>
        <v>192958.80711930548</v>
      </c>
      <c r="S24" s="93" t="s">
        <v>332</v>
      </c>
      <c r="T24" s="105">
        <f ca="1">SUM(T16:T23)</f>
        <v>281426.18559761101</v>
      </c>
    </row>
    <row r="25" spans="2:20" x14ac:dyDescent="0.2">
      <c r="B25" s="2" t="s">
        <v>188</v>
      </c>
      <c r="C25" s="10">
        <f>-C22*'Annual Model'!C24</f>
        <v>-4426.8545176110265</v>
      </c>
      <c r="D25" s="10">
        <f>-D22*'Annual Model'!D24</f>
        <v>-5621.9423103464142</v>
      </c>
      <c r="E25" s="10">
        <f>-E22*'Annual Model'!E24</f>
        <v>-5745.3177915202205</v>
      </c>
      <c r="F25" s="10">
        <f>-F22*'Annual Model'!F24</f>
        <v>-5204.5326741618146</v>
      </c>
      <c r="G25" s="10">
        <f>-G22*'Annual Model'!G24</f>
        <v>-5298.1879213158545</v>
      </c>
      <c r="H25" s="10">
        <f>-H22*'Annual Model'!H24</f>
        <v>-5419.0163843873315</v>
      </c>
      <c r="I25" s="10">
        <f>-I22*'Annual Model'!I24</f>
        <v>-5596.1351782121055</v>
      </c>
      <c r="J25" s="10">
        <f>-J22*'Annual Model'!J24</f>
        <v>-5795.4225292778237</v>
      </c>
      <c r="K25" s="10">
        <f>-K22*'Annual Model'!K24</f>
        <v>-5984.2391103876416</v>
      </c>
      <c r="L25" s="10">
        <f>-L22*'Annual Model'!L24</f>
        <v>-6164.0352449635811</v>
      </c>
      <c r="M25" s="10">
        <f>-M22*'Annual Model'!M24</f>
        <v>-6333.6021973514835</v>
      </c>
      <c r="P25" s="2" t="s">
        <v>360</v>
      </c>
      <c r="Q25" s="10">
        <f>'Annual Model'!F31</f>
        <v>1002</v>
      </c>
      <c r="S25" s="2" t="s">
        <v>360</v>
      </c>
      <c r="T25" s="10">
        <f>'Annual Model'!F31</f>
        <v>1002</v>
      </c>
    </row>
    <row r="26" spans="2:20" x14ac:dyDescent="0.2">
      <c r="B26" s="8" t="s">
        <v>298</v>
      </c>
      <c r="C26" s="61">
        <f>'Annual Model'!C24</f>
        <v>0.24219578277771234</v>
      </c>
      <c r="D26" s="61">
        <f>'Annual Model'!D24</f>
        <v>0.244007912775452</v>
      </c>
      <c r="E26" s="61">
        <f>'Annual Model'!E24</f>
        <v>0.23899986653023089</v>
      </c>
      <c r="F26" s="61">
        <f>'Annual Model'!F24</f>
        <v>0.23996185504918691</v>
      </c>
      <c r="G26" s="61">
        <f>'Annual Model'!G24</f>
        <v>0.24</v>
      </c>
      <c r="H26" s="61">
        <f>'Annual Model'!H24</f>
        <v>0.24</v>
      </c>
      <c r="I26" s="61">
        <f>'Annual Model'!I24</f>
        <v>0.24</v>
      </c>
      <c r="J26" s="61">
        <f>'Annual Model'!J24</f>
        <v>0.24</v>
      </c>
      <c r="K26" s="61">
        <f>'Annual Model'!K24</f>
        <v>0.24</v>
      </c>
      <c r="L26" s="61">
        <f>'Annual Model'!L24</f>
        <v>0.24</v>
      </c>
      <c r="M26" s="61">
        <f>'Annual Model'!M24</f>
        <v>0.24</v>
      </c>
      <c r="P26" s="93" t="s">
        <v>361</v>
      </c>
      <c r="Q26" s="100">
        <f ca="1">Q24/Q25</f>
        <v>192.57365979970606</v>
      </c>
      <c r="S26" s="93" t="s">
        <v>361</v>
      </c>
      <c r="T26" s="100">
        <f ca="1">T24/T25</f>
        <v>280.8644566842425</v>
      </c>
    </row>
    <row r="27" spans="2:20" x14ac:dyDescent="0.2">
      <c r="B27" s="16" t="s">
        <v>275</v>
      </c>
      <c r="C27" s="20">
        <f>C22+C25</f>
        <v>13851.145482388973</v>
      </c>
      <c r="D27" s="20">
        <f>D22+D25</f>
        <v>17418.057689653586</v>
      </c>
      <c r="E27" s="20">
        <f>E22+E25</f>
        <v>18293.682208479779</v>
      </c>
      <c r="F27" s="20">
        <f>F22+F25</f>
        <v>16484.467325838184</v>
      </c>
      <c r="G27" s="20">
        <f t="shared" ref="G27:M27" si="10">G22+G25</f>
        <v>16777.595084166875</v>
      </c>
      <c r="H27" s="20">
        <f t="shared" si="10"/>
        <v>17160.218550559886</v>
      </c>
      <c r="I27" s="20">
        <f t="shared" si="10"/>
        <v>17721.094731005003</v>
      </c>
      <c r="J27" s="20">
        <f t="shared" si="10"/>
        <v>18352.171342713107</v>
      </c>
      <c r="K27" s="20">
        <f t="shared" si="10"/>
        <v>18950.09051622753</v>
      </c>
      <c r="L27" s="20">
        <f t="shared" si="10"/>
        <v>19519.444942384675</v>
      </c>
      <c r="M27" s="20">
        <f t="shared" si="10"/>
        <v>20056.406958279698</v>
      </c>
    </row>
    <row r="28" spans="2:20" x14ac:dyDescent="0.2">
      <c r="B28" s="2" t="s">
        <v>299</v>
      </c>
      <c r="C28" s="11">
        <f>'Annual Model'!C16</f>
        <v>2128</v>
      </c>
      <c r="D28" s="11">
        <f>'Annual Model'!D16</f>
        <v>2386</v>
      </c>
      <c r="E28" s="11">
        <f>'Annual Model'!E16</f>
        <v>2455</v>
      </c>
      <c r="F28" s="11">
        <f>'Annual Model'!F16</f>
        <v>2673</v>
      </c>
      <c r="G28" s="10">
        <f>'Annual Model'!G16</f>
        <v>2505.6057430671144</v>
      </c>
      <c r="H28" s="10">
        <f>'Annual Model'!H16</f>
        <v>2580.7739153591278</v>
      </c>
      <c r="I28" s="10">
        <f>'Annual Model'!I16</f>
        <v>2684.0048719734928</v>
      </c>
      <c r="J28" s="10">
        <f>'Annual Model'!J16</f>
        <v>2799.4170814683525</v>
      </c>
      <c r="K28" s="10">
        <f>'Annual Model'!K16</f>
        <v>2911.3937647270873</v>
      </c>
      <c r="L28" s="10">
        <f>'Annual Model'!L16</f>
        <v>3020.5710309043534</v>
      </c>
      <c r="M28" s="10">
        <f>'Annual Model'!M16</f>
        <v>3126.2910169860052</v>
      </c>
      <c r="P28" s="2" t="s">
        <v>362</v>
      </c>
      <c r="Q28" s="61">
        <f ca="1">Q15/Q16</f>
        <v>0.64376808523465923</v>
      </c>
      <c r="S28" s="2" t="s">
        <v>362</v>
      </c>
      <c r="T28" s="61">
        <f ca="1">T15/T16</f>
        <v>0.73653559724360862</v>
      </c>
    </row>
    <row r="29" spans="2:20" x14ac:dyDescent="0.2">
      <c r="B29" s="2" t="s">
        <v>300</v>
      </c>
      <c r="C29" s="11">
        <f>'Annual Model'!C108</f>
        <v>-2463</v>
      </c>
      <c r="D29" s="11">
        <f>'Annual Model'!D108</f>
        <v>-2566</v>
      </c>
      <c r="E29" s="11">
        <f>'Annual Model'!E108</f>
        <v>-3119</v>
      </c>
      <c r="F29" s="11">
        <f>'Annual Model'!F108</f>
        <v>-3226</v>
      </c>
      <c r="G29" s="10">
        <f>'Annual Model'!G108</f>
        <v>-3083.9138000000003</v>
      </c>
      <c r="H29" s="10">
        <f>'Annual Model'!H108</f>
        <v>-3176.4312140000002</v>
      </c>
      <c r="I29" s="10">
        <f>'Annual Model'!I108</f>
        <v>-3303.4884625599998</v>
      </c>
      <c r="J29" s="10">
        <f>'Annual Model'!J108</f>
        <v>-3445.5384664500798</v>
      </c>
      <c r="K29" s="10">
        <f>'Annual Model'!K108</f>
        <v>-3583.360005108083</v>
      </c>
      <c r="L29" s="10">
        <f>'Annual Model'!L108</f>
        <v>-3717.7360052996369</v>
      </c>
      <c r="M29" s="10">
        <f>'Annual Model'!M108</f>
        <v>-3847.8567654851236</v>
      </c>
      <c r="P29" s="2" t="s">
        <v>363</v>
      </c>
      <c r="Q29" s="89">
        <f ca="1">Q14/M18</f>
        <v>9.8379769840260618</v>
      </c>
    </row>
    <row r="30" spans="2:20" x14ac:dyDescent="0.2">
      <c r="B30" s="8" t="s">
        <v>185</v>
      </c>
      <c r="C30" s="91">
        <f>-C29/C11</f>
        <v>1.8643554613579593E-2</v>
      </c>
      <c r="D30" s="91">
        <f t="shared" ref="D30:M30" si="11">-D29/D11</f>
        <v>1.6975727224012121E-2</v>
      </c>
      <c r="E30" s="91">
        <f t="shared" si="11"/>
        <v>1.9815378360005846E-2</v>
      </c>
      <c r="F30" s="91">
        <f t="shared" si="11"/>
        <v>2.113068140879943E-2</v>
      </c>
      <c r="G30" s="91">
        <f t="shared" si="11"/>
        <v>0.02</v>
      </c>
      <c r="H30" s="91">
        <f t="shared" si="11"/>
        <v>0.02</v>
      </c>
      <c r="I30" s="91">
        <f t="shared" si="11"/>
        <v>0.02</v>
      </c>
      <c r="J30" s="91">
        <f t="shared" si="11"/>
        <v>0.02</v>
      </c>
      <c r="K30" s="91">
        <f t="shared" si="11"/>
        <v>0.02</v>
      </c>
      <c r="L30" s="91">
        <f t="shared" si="11"/>
        <v>0.02</v>
      </c>
      <c r="M30" s="91">
        <f t="shared" si="11"/>
        <v>0.02</v>
      </c>
    </row>
    <row r="31" spans="2:20" x14ac:dyDescent="0.2">
      <c r="B31" s="2" t="s">
        <v>301</v>
      </c>
      <c r="C31" s="10">
        <f>'Annual Model'!C103</f>
        <v>2847</v>
      </c>
      <c r="D31" s="10">
        <f>'Annual Model'!D103</f>
        <v>-3488</v>
      </c>
      <c r="E31" s="10">
        <f>'Annual Model'!E103</f>
        <v>-5403</v>
      </c>
      <c r="F31" s="10">
        <f>'Annual Model'!F103</f>
        <v>2835</v>
      </c>
      <c r="G31" s="10">
        <f ca="1">'Annual Model'!G103</f>
        <v>2655.6603859326769</v>
      </c>
      <c r="H31" s="10">
        <f ca="1">'Annual Model'!H103</f>
        <v>-361.41703918713733</v>
      </c>
      <c r="I31" s="10">
        <f ca="1">'Annual Model'!I103</f>
        <v>-492.01154914993162</v>
      </c>
      <c r="J31" s="10">
        <f ca="1">'Annual Model'!J103</f>
        <v>-549.87678332567862</v>
      </c>
      <c r="K31" s="10">
        <f ca="1">'Annual Model'!K103</f>
        <v>-536.2259182723966</v>
      </c>
      <c r="L31" s="10">
        <f ca="1">'Annual Model'!L103</f>
        <v>-525.07848419638526</v>
      </c>
      <c r="M31" s="10">
        <f ca="1">'Annual Model'!M103</f>
        <v>-510.78980417080322</v>
      </c>
      <c r="P31" s="2" t="s">
        <v>367</v>
      </c>
      <c r="Q31" s="59">
        <v>390.13</v>
      </c>
      <c r="S31" s="2" t="s">
        <v>367</v>
      </c>
      <c r="T31" s="59">
        <v>390.13</v>
      </c>
    </row>
    <row r="32" spans="2:20" x14ac:dyDescent="0.2">
      <c r="B32" s="8" t="s">
        <v>302</v>
      </c>
      <c r="D32" s="61">
        <f>D31/D11</f>
        <v>-2.307534550169691E-2</v>
      </c>
      <c r="E32" s="61">
        <f t="shared" ref="E32:M32" si="12">E31/E11</f>
        <v>-3.4325902301735038E-2</v>
      </c>
      <c r="F32" s="61">
        <f t="shared" si="12"/>
        <v>1.8569585181012517E-2</v>
      </c>
      <c r="G32" s="61">
        <f t="shared" ca="1" si="12"/>
        <v>1.7222662876846147E-2</v>
      </c>
      <c r="H32" s="61">
        <f t="shared" ca="1" si="12"/>
        <v>-2.2756169728732388E-3</v>
      </c>
      <c r="I32" s="61">
        <f t="shared" ca="1" si="12"/>
        <v>-2.9787393219388031E-3</v>
      </c>
      <c r="J32" s="61">
        <f t="shared" ca="1" si="12"/>
        <v>-3.1918191521002745E-3</v>
      </c>
      <c r="K32" s="61">
        <f t="shared" ca="1" si="12"/>
        <v>-2.9928665694097497E-3</v>
      </c>
      <c r="L32" s="61">
        <f t="shared" ca="1" si="12"/>
        <v>-2.8247217309022767E-3</v>
      </c>
      <c r="M32" s="61">
        <f t="shared" ca="1" si="12"/>
        <v>-2.65493148680863E-3</v>
      </c>
      <c r="P32" s="2" t="s">
        <v>368</v>
      </c>
      <c r="Q32" s="61">
        <v>2.3099999999999999E-2</v>
      </c>
      <c r="S32" s="2" t="s">
        <v>368</v>
      </c>
      <c r="T32" s="61">
        <v>2.3099999999999999E-2</v>
      </c>
    </row>
    <row r="33" spans="2:20" x14ac:dyDescent="0.2">
      <c r="B33" s="16" t="s">
        <v>270</v>
      </c>
      <c r="C33" s="21">
        <f>C27+C28+C29+C31</f>
        <v>16363.145482388973</v>
      </c>
      <c r="D33" s="21">
        <f t="shared" ref="D33:M33" si="13">D27+D28+D29+D31</f>
        <v>13750.057689653586</v>
      </c>
      <c r="E33" s="21">
        <f t="shared" si="13"/>
        <v>12226.682208479779</v>
      </c>
      <c r="F33" s="21">
        <f t="shared" si="13"/>
        <v>18766.467325838184</v>
      </c>
      <c r="G33" s="21">
        <f ca="1">G27+G28+G29+G31</f>
        <v>18854.947413166665</v>
      </c>
      <c r="H33" s="21">
        <f t="shared" ca="1" si="13"/>
        <v>16203.144212731877</v>
      </c>
      <c r="I33" s="21">
        <f t="shared" ca="1" si="13"/>
        <v>16609.599591268565</v>
      </c>
      <c r="J33" s="21">
        <f t="shared" ca="1" si="13"/>
        <v>17156.173174405703</v>
      </c>
      <c r="K33" s="21">
        <f t="shared" ca="1" si="13"/>
        <v>17741.898357574137</v>
      </c>
      <c r="L33" s="21">
        <f t="shared" ca="1" si="13"/>
        <v>18297.201483793004</v>
      </c>
      <c r="M33" s="21">
        <f t="shared" ca="1" si="13"/>
        <v>18824.051405609775</v>
      </c>
      <c r="P33" s="93" t="s">
        <v>366</v>
      </c>
      <c r="Q33" s="102">
        <f ca="1">((Q26-Q31)/Q31)+Q32</f>
        <v>-0.48328592315457397</v>
      </c>
      <c r="S33" s="93" t="s">
        <v>366</v>
      </c>
      <c r="T33" s="102">
        <f ca="1">((T26-T31)/T31)+T32</f>
        <v>-0.25697470155014351</v>
      </c>
    </row>
    <row r="34" spans="2:20" x14ac:dyDescent="0.2">
      <c r="B34" s="2" t="s">
        <v>303</v>
      </c>
      <c r="G34" s="2">
        <v>1</v>
      </c>
      <c r="H34" s="2">
        <v>2</v>
      </c>
      <c r="I34" s="2">
        <v>3</v>
      </c>
      <c r="J34" s="2">
        <v>4</v>
      </c>
      <c r="K34" s="2">
        <v>5</v>
      </c>
      <c r="L34" s="2">
        <v>6</v>
      </c>
      <c r="M34" s="2">
        <v>7</v>
      </c>
    </row>
    <row r="35" spans="2:20" x14ac:dyDescent="0.2">
      <c r="B35" s="2" t="s">
        <v>304</v>
      </c>
      <c r="G35" s="61">
        <f>WACC!D16</f>
        <v>8.7186759977216102E-2</v>
      </c>
      <c r="H35" s="61">
        <f>G35</f>
        <v>8.7186759977216102E-2</v>
      </c>
      <c r="I35" s="61">
        <f t="shared" ref="I35:M35" si="14">H35</f>
        <v>8.7186759977216102E-2</v>
      </c>
      <c r="J35" s="61">
        <f t="shared" si="14"/>
        <v>8.7186759977216102E-2</v>
      </c>
      <c r="K35" s="61">
        <f t="shared" si="14"/>
        <v>8.7186759977216102E-2</v>
      </c>
      <c r="L35" s="61">
        <f t="shared" si="14"/>
        <v>8.7186759977216102E-2</v>
      </c>
      <c r="M35" s="61">
        <f t="shared" si="14"/>
        <v>8.7186759977216102E-2</v>
      </c>
    </row>
    <row r="36" spans="2:20" x14ac:dyDescent="0.2">
      <c r="B36" s="2" t="s">
        <v>305</v>
      </c>
      <c r="G36" s="103">
        <f>1/(1+G35)^G34</f>
        <v>0.91980516762451814</v>
      </c>
      <c r="H36" s="103">
        <f>1/(1+H35)^H34</f>
        <v>0.84604154638876805</v>
      </c>
      <c r="I36" s="103">
        <f t="shared" ref="I36:M36" si="15">1/(1+I35)^I34</f>
        <v>0.77819338639342728</v>
      </c>
      <c r="J36" s="103">
        <f t="shared" si="15"/>
        <v>0.71578629821589801</v>
      </c>
      <c r="K36" s="103">
        <f t="shared" si="15"/>
        <v>0.6583839360138074</v>
      </c>
      <c r="L36" s="103">
        <f t="shared" si="15"/>
        <v>0.60558494662647022</v>
      </c>
      <c r="M36" s="103">
        <f t="shared" si="15"/>
        <v>0.55702016334264526</v>
      </c>
    </row>
    <row r="37" spans="2:20" x14ac:dyDescent="0.2">
      <c r="B37" s="16" t="s">
        <v>306</v>
      </c>
      <c r="C37" s="16"/>
      <c r="D37" s="16"/>
      <c r="E37" s="16"/>
      <c r="F37" s="16"/>
      <c r="G37" s="21">
        <f ca="1">G33*G36</f>
        <v>17342.878065919238</v>
      </c>
      <c r="H37" s="21">
        <f t="shared" ref="H37:M37" ca="1" si="16">H33*H36</f>
        <v>13708.533186099894</v>
      </c>
      <c r="I37" s="21">
        <f t="shared" ca="1" si="16"/>
        <v>12925.48055256817</v>
      </c>
      <c r="J37" s="21">
        <f t="shared" ca="1" si="16"/>
        <v>12280.15368805875</v>
      </c>
      <c r="K37" s="21">
        <f t="shared" ca="1" si="16"/>
        <v>11680.980873016566</v>
      </c>
      <c r="L37" s="21">
        <f t="shared" ca="1" si="16"/>
        <v>11080.509783976559</v>
      </c>
      <c r="M37" s="21">
        <f t="shared" ca="1" si="16"/>
        <v>10485.376188723108</v>
      </c>
    </row>
    <row r="45" spans="2:20" x14ac:dyDescent="0.2">
      <c r="B45" s="5" t="s">
        <v>405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2:20" x14ac:dyDescent="0.2">
      <c r="B46" s="16"/>
      <c r="C46" s="152" t="s">
        <v>304</v>
      </c>
      <c r="D46" s="152"/>
      <c r="E46" s="152"/>
      <c r="F46" s="152"/>
      <c r="G46" s="152"/>
      <c r="H46" s="152"/>
      <c r="I46" s="152"/>
      <c r="J46" s="152"/>
      <c r="K46" s="152"/>
      <c r="L46" s="152"/>
      <c r="M46" s="152"/>
    </row>
    <row r="47" spans="2:20" x14ac:dyDescent="0.2">
      <c r="B47" s="144"/>
      <c r="C47" s="147">
        <f ca="1">$Q$26</f>
        <v>192.57365979970606</v>
      </c>
      <c r="D47" s="146">
        <v>0.08</v>
      </c>
      <c r="E47" s="146">
        <v>8.2500000000000004E-2</v>
      </c>
      <c r="F47" s="146">
        <v>8.5000000000000006E-2</v>
      </c>
      <c r="G47" s="146">
        <v>8.7499999999999994E-2</v>
      </c>
      <c r="H47" s="146">
        <v>0.09</v>
      </c>
      <c r="I47" s="146">
        <v>9.2499999999999999E-2</v>
      </c>
      <c r="J47" s="146">
        <v>9.5000000000000001E-2</v>
      </c>
      <c r="K47" s="146">
        <v>9.7500000000000003E-2</v>
      </c>
      <c r="L47" s="146">
        <v>0.1</v>
      </c>
      <c r="M47" s="146">
        <v>0.10249999999999999</v>
      </c>
    </row>
    <row r="48" spans="2:20" x14ac:dyDescent="0.2">
      <c r="B48" s="151" t="s">
        <v>370</v>
      </c>
      <c r="C48" s="145">
        <v>1.4999999999999999E-2</v>
      </c>
      <c r="D48" s="88">
        <f t="dataTable" ref="D48:M57" dt2D="1" dtr="1" r1="M35" r2="Q13" ca="1"/>
        <v>192.57365979970606</v>
      </c>
      <c r="E48" s="88">
        <v>192.57365979970606</v>
      </c>
      <c r="F48" s="88">
        <v>192.57365979970606</v>
      </c>
      <c r="G48" s="88">
        <v>192.57365979970606</v>
      </c>
      <c r="H48" s="88">
        <v>192.57365979970606</v>
      </c>
      <c r="I48" s="88">
        <v>192.57365979970606</v>
      </c>
      <c r="J48" s="88">
        <v>192.57365979970606</v>
      </c>
      <c r="K48" s="88">
        <v>192.57365979970606</v>
      </c>
      <c r="L48" s="88">
        <v>192.57365979970606</v>
      </c>
      <c r="M48" s="88">
        <v>192.57365979970606</v>
      </c>
    </row>
    <row r="49" spans="2:13" x14ac:dyDescent="0.2">
      <c r="B49" s="151"/>
      <c r="C49" s="145">
        <v>1.6E-2</v>
      </c>
      <c r="D49" s="88">
        <v>192.57365979970606</v>
      </c>
      <c r="E49" s="88">
        <v>192.57365979970606</v>
      </c>
      <c r="F49" s="88">
        <v>192.57365979970606</v>
      </c>
      <c r="G49" s="88">
        <v>192.57365979970606</v>
      </c>
      <c r="H49" s="88">
        <v>192.57365979970606</v>
      </c>
      <c r="I49" s="88">
        <v>192.57365979970606</v>
      </c>
      <c r="J49" s="88">
        <v>192.57365979970606</v>
      </c>
      <c r="K49" s="88">
        <v>192.57365979970606</v>
      </c>
      <c r="L49" s="88">
        <v>192.57365979970606</v>
      </c>
      <c r="M49" s="88">
        <v>192.57365979970606</v>
      </c>
    </row>
    <row r="50" spans="2:13" x14ac:dyDescent="0.2">
      <c r="B50" s="151"/>
      <c r="C50" s="145">
        <v>1.7000000000000001E-2</v>
      </c>
      <c r="D50" s="88">
        <v>192.57365979970606</v>
      </c>
      <c r="E50" s="88">
        <v>192.57365979970606</v>
      </c>
      <c r="F50" s="88">
        <v>192.57365979970606</v>
      </c>
      <c r="G50" s="88">
        <v>192.57365979970606</v>
      </c>
      <c r="H50" s="88">
        <v>192.57365979970606</v>
      </c>
      <c r="I50" s="88">
        <v>192.57365979970606</v>
      </c>
      <c r="J50" s="88">
        <v>192.57365979970606</v>
      </c>
      <c r="K50" s="88">
        <v>192.57365979970606</v>
      </c>
      <c r="L50" s="88">
        <v>192.57365979970606</v>
      </c>
      <c r="M50" s="88">
        <v>192.57365979970606</v>
      </c>
    </row>
    <row r="51" spans="2:13" x14ac:dyDescent="0.2">
      <c r="B51" s="151"/>
      <c r="C51" s="145">
        <v>1.7999999999999999E-2</v>
      </c>
      <c r="D51" s="88">
        <v>192.57365979970606</v>
      </c>
      <c r="E51" s="88">
        <v>192.57365979970606</v>
      </c>
      <c r="F51" s="88">
        <v>192.57365979970606</v>
      </c>
      <c r="G51" s="88">
        <v>192.57365979970606</v>
      </c>
      <c r="H51" s="88">
        <v>192.57365979970606</v>
      </c>
      <c r="I51" s="88">
        <v>192.57365979970606</v>
      </c>
      <c r="J51" s="88">
        <v>192.57365979970606</v>
      </c>
      <c r="K51" s="88">
        <v>192.57365979970606</v>
      </c>
      <c r="L51" s="88">
        <v>192.57365979970606</v>
      </c>
      <c r="M51" s="88">
        <v>192.57365979970606</v>
      </c>
    </row>
    <row r="52" spans="2:13" x14ac:dyDescent="0.2">
      <c r="B52" s="151"/>
      <c r="C52" s="145">
        <v>1.9E-2</v>
      </c>
      <c r="D52" s="88">
        <v>192.57365979970606</v>
      </c>
      <c r="E52" s="88">
        <v>192.57365979970606</v>
      </c>
      <c r="F52" s="88">
        <v>192.57365979970606</v>
      </c>
      <c r="G52" s="88">
        <v>192.57365979970606</v>
      </c>
      <c r="H52" s="88">
        <v>192.57365979970606</v>
      </c>
      <c r="I52" s="88">
        <v>192.57365979970606</v>
      </c>
      <c r="J52" s="88">
        <v>192.57365979970606</v>
      </c>
      <c r="K52" s="88">
        <v>192.57365979970606</v>
      </c>
      <c r="L52" s="88">
        <v>192.57365979970606</v>
      </c>
      <c r="M52" s="88">
        <v>192.57365979970606</v>
      </c>
    </row>
    <row r="53" spans="2:13" x14ac:dyDescent="0.2">
      <c r="B53" s="151"/>
      <c r="C53" s="145">
        <v>0.02</v>
      </c>
      <c r="D53" s="88">
        <v>192.57365979970606</v>
      </c>
      <c r="E53" s="88">
        <v>192.57365979970606</v>
      </c>
      <c r="F53" s="88">
        <v>192.57365979970606</v>
      </c>
      <c r="G53" s="88">
        <v>192.57365979970606</v>
      </c>
      <c r="H53" s="88">
        <v>192.57365979970606</v>
      </c>
      <c r="I53" s="88">
        <v>192.57365979970606</v>
      </c>
      <c r="J53" s="88">
        <v>192.57365979970606</v>
      </c>
      <c r="K53" s="88">
        <v>192.57365979970606</v>
      </c>
      <c r="L53" s="88">
        <v>192.57365979970606</v>
      </c>
      <c r="M53" s="88">
        <v>192.57365979970606</v>
      </c>
    </row>
    <row r="54" spans="2:13" x14ac:dyDescent="0.2">
      <c r="B54" s="151"/>
      <c r="C54" s="145">
        <v>2.1000000000000001E-2</v>
      </c>
      <c r="D54" s="88">
        <v>192.57365979970606</v>
      </c>
      <c r="E54" s="88">
        <v>192.57365979970606</v>
      </c>
      <c r="F54" s="88">
        <v>192.57365979970606</v>
      </c>
      <c r="G54" s="88">
        <v>192.57365979970606</v>
      </c>
      <c r="H54" s="88">
        <v>192.57365979970606</v>
      </c>
      <c r="I54" s="88">
        <v>192.57365979970606</v>
      </c>
      <c r="J54" s="88">
        <v>192.57365979970606</v>
      </c>
      <c r="K54" s="88">
        <v>192.57365979970606</v>
      </c>
      <c r="L54" s="88">
        <v>192.57365979970606</v>
      </c>
      <c r="M54" s="88">
        <v>192.57365979970606</v>
      </c>
    </row>
    <row r="55" spans="2:13" x14ac:dyDescent="0.2">
      <c r="B55" s="151"/>
      <c r="C55" s="145">
        <v>2.1999999999999999E-2</v>
      </c>
      <c r="D55" s="88">
        <v>192.57365979970606</v>
      </c>
      <c r="E55" s="88">
        <v>192.57365979970606</v>
      </c>
      <c r="F55" s="88">
        <v>192.57365979970606</v>
      </c>
      <c r="G55" s="88">
        <v>192.57365979970606</v>
      </c>
      <c r="H55" s="88">
        <v>192.57365979970606</v>
      </c>
      <c r="I55" s="88">
        <v>192.57365979970606</v>
      </c>
      <c r="J55" s="88">
        <v>192.57365979970606</v>
      </c>
      <c r="K55" s="88">
        <v>192.57365979970606</v>
      </c>
      <c r="L55" s="88">
        <v>192.57365979970606</v>
      </c>
      <c r="M55" s="88">
        <v>192.57365979970606</v>
      </c>
    </row>
    <row r="56" spans="2:13" x14ac:dyDescent="0.2">
      <c r="B56" s="151"/>
      <c r="C56" s="145">
        <v>2.3E-2</v>
      </c>
      <c r="D56" s="88">
        <v>192.57365979970606</v>
      </c>
      <c r="E56" s="88">
        <v>192.57365979970606</v>
      </c>
      <c r="F56" s="88">
        <v>192.57365979970606</v>
      </c>
      <c r="G56" s="88">
        <v>192.57365979970606</v>
      </c>
      <c r="H56" s="88">
        <v>192.57365979970606</v>
      </c>
      <c r="I56" s="88">
        <v>192.57365979970606</v>
      </c>
      <c r="J56" s="88">
        <v>192.57365979970606</v>
      </c>
      <c r="K56" s="88">
        <v>192.57365979970606</v>
      </c>
      <c r="L56" s="88">
        <v>192.57365979970606</v>
      </c>
      <c r="M56" s="88">
        <v>192.57365979970606</v>
      </c>
    </row>
    <row r="57" spans="2:13" x14ac:dyDescent="0.2">
      <c r="B57" s="151"/>
      <c r="C57" s="145">
        <v>2.4E-2</v>
      </c>
      <c r="D57" s="88">
        <v>192.57365979970606</v>
      </c>
      <c r="E57" s="88">
        <v>192.57365979970606</v>
      </c>
      <c r="F57" s="88">
        <v>192.57365979970606</v>
      </c>
      <c r="G57" s="88">
        <v>192.57365979970606</v>
      </c>
      <c r="H57" s="88">
        <v>192.57365979970606</v>
      </c>
      <c r="I57" s="88">
        <v>192.57365979970606</v>
      </c>
      <c r="J57" s="88">
        <v>192.57365979970606</v>
      </c>
      <c r="K57" s="88">
        <v>192.57365979970606</v>
      </c>
      <c r="L57" s="88">
        <v>192.57365979970606</v>
      </c>
      <c r="M57" s="88">
        <v>192.57365979970606</v>
      </c>
    </row>
    <row r="61" spans="2:13" x14ac:dyDescent="0.2">
      <c r="B61" s="16"/>
      <c r="C61" s="152" t="s">
        <v>369</v>
      </c>
      <c r="D61" s="152"/>
      <c r="E61" s="152"/>
      <c r="F61" s="152"/>
      <c r="G61" s="152"/>
      <c r="H61" s="152"/>
      <c r="I61" s="152"/>
      <c r="J61" s="152"/>
      <c r="K61" s="152"/>
      <c r="L61" s="152"/>
      <c r="M61" s="152"/>
    </row>
    <row r="62" spans="2:13" ht="11.45" customHeight="1" x14ac:dyDescent="0.2">
      <c r="B62" s="144"/>
      <c r="C62" s="147">
        <f ca="1">$T$26</f>
        <v>280.8644566842425</v>
      </c>
      <c r="D62" s="148">
        <v>8.1999999999999993</v>
      </c>
      <c r="E62" s="148">
        <v>8.4</v>
      </c>
      <c r="F62" s="148">
        <v>8.6</v>
      </c>
      <c r="G62" s="148">
        <v>8.8000000000000007</v>
      </c>
      <c r="H62" s="148">
        <v>9</v>
      </c>
      <c r="I62" s="148">
        <v>9.1999999999999993</v>
      </c>
      <c r="J62" s="148">
        <v>9.4</v>
      </c>
      <c r="K62" s="148">
        <v>9.6</v>
      </c>
      <c r="L62" s="148">
        <v>9.8000000000000007</v>
      </c>
      <c r="M62" s="148">
        <v>10</v>
      </c>
    </row>
    <row r="63" spans="2:13" ht="11.45" customHeight="1" x14ac:dyDescent="0.2">
      <c r="B63" s="151" t="s">
        <v>304</v>
      </c>
      <c r="C63" s="145">
        <v>0.08</v>
      </c>
      <c r="D63" s="88">
        <f t="dataTable" ref="D63:M72" dt2D="1" dtr="1" r1="Q29" r2="M35" ca="1"/>
        <v>280.8644566842425</v>
      </c>
      <c r="E63" s="88">
        <v>280.8644566842425</v>
      </c>
      <c r="F63" s="88">
        <v>280.8644566842425</v>
      </c>
      <c r="G63" s="88">
        <v>280.8644566842425</v>
      </c>
      <c r="H63" s="88">
        <v>280.8644566842425</v>
      </c>
      <c r="I63" s="88">
        <v>280.8644566842425</v>
      </c>
      <c r="J63" s="88">
        <v>280.8644566842425</v>
      </c>
      <c r="K63" s="88">
        <v>280.8644566842425</v>
      </c>
      <c r="L63" s="88">
        <v>280.8644566842425</v>
      </c>
      <c r="M63" s="88">
        <v>280.8644566842425</v>
      </c>
    </row>
    <row r="64" spans="2:13" ht="11.45" customHeight="1" x14ac:dyDescent="0.2">
      <c r="B64" s="151"/>
      <c r="C64" s="145">
        <v>8.2500000000000004E-2</v>
      </c>
      <c r="D64" s="88">
        <v>280.8644566842425</v>
      </c>
      <c r="E64" s="88">
        <v>280.8644566842425</v>
      </c>
      <c r="F64" s="88">
        <v>280.8644566842425</v>
      </c>
      <c r="G64" s="88">
        <v>280.8644566842425</v>
      </c>
      <c r="H64" s="88">
        <v>280.8644566842425</v>
      </c>
      <c r="I64" s="88">
        <v>280.8644566842425</v>
      </c>
      <c r="J64" s="88">
        <v>280.8644566842425</v>
      </c>
      <c r="K64" s="88">
        <v>280.8644566842425</v>
      </c>
      <c r="L64" s="88">
        <v>280.8644566842425</v>
      </c>
      <c r="M64" s="88">
        <v>280.8644566842425</v>
      </c>
    </row>
    <row r="65" spans="2:13" ht="11.45" customHeight="1" x14ac:dyDescent="0.2">
      <c r="B65" s="151"/>
      <c r="C65" s="145">
        <v>8.5000000000000006E-2</v>
      </c>
      <c r="D65" s="88">
        <v>280.8644566842425</v>
      </c>
      <c r="E65" s="88">
        <v>280.8644566842425</v>
      </c>
      <c r="F65" s="88">
        <v>280.8644566842425</v>
      </c>
      <c r="G65" s="88">
        <v>280.8644566842425</v>
      </c>
      <c r="H65" s="88">
        <v>280.8644566842425</v>
      </c>
      <c r="I65" s="88">
        <v>280.8644566842425</v>
      </c>
      <c r="J65" s="88">
        <v>280.8644566842425</v>
      </c>
      <c r="K65" s="88">
        <v>280.8644566842425</v>
      </c>
      <c r="L65" s="88">
        <v>280.8644566842425</v>
      </c>
      <c r="M65" s="88">
        <v>280.8644566842425</v>
      </c>
    </row>
    <row r="66" spans="2:13" ht="11.45" customHeight="1" x14ac:dyDescent="0.2">
      <c r="B66" s="151"/>
      <c r="C66" s="145">
        <v>8.7499999999999994E-2</v>
      </c>
      <c r="D66" s="88">
        <v>280.8644566842425</v>
      </c>
      <c r="E66" s="88">
        <v>280.8644566842425</v>
      </c>
      <c r="F66" s="88">
        <v>280.8644566842425</v>
      </c>
      <c r="G66" s="88">
        <v>280.8644566842425</v>
      </c>
      <c r="H66" s="88">
        <v>280.8644566842425</v>
      </c>
      <c r="I66" s="88">
        <v>280.8644566842425</v>
      </c>
      <c r="J66" s="88">
        <v>280.8644566842425</v>
      </c>
      <c r="K66" s="88">
        <v>280.8644566842425</v>
      </c>
      <c r="L66" s="88">
        <v>280.8644566842425</v>
      </c>
      <c r="M66" s="88">
        <v>280.8644566842425</v>
      </c>
    </row>
    <row r="67" spans="2:13" ht="11.45" customHeight="1" x14ac:dyDescent="0.2">
      <c r="B67" s="151"/>
      <c r="C67" s="145">
        <v>0.09</v>
      </c>
      <c r="D67" s="88">
        <v>280.8644566842425</v>
      </c>
      <c r="E67" s="88">
        <v>280.8644566842425</v>
      </c>
      <c r="F67" s="88">
        <v>280.8644566842425</v>
      </c>
      <c r="G67" s="88">
        <v>280.8644566842425</v>
      </c>
      <c r="H67" s="88">
        <v>280.8644566842425</v>
      </c>
      <c r="I67" s="88">
        <v>280.8644566842425</v>
      </c>
      <c r="J67" s="88">
        <v>280.8644566842425</v>
      </c>
      <c r="K67" s="88">
        <v>280.8644566842425</v>
      </c>
      <c r="L67" s="88">
        <v>280.8644566842425</v>
      </c>
      <c r="M67" s="88">
        <v>280.8644566842425</v>
      </c>
    </row>
    <row r="68" spans="2:13" ht="11.45" customHeight="1" x14ac:dyDescent="0.2">
      <c r="B68" s="151"/>
      <c r="C68" s="145">
        <v>9.2499999999999999E-2</v>
      </c>
      <c r="D68" s="88">
        <v>280.8644566842425</v>
      </c>
      <c r="E68" s="88">
        <v>280.8644566842425</v>
      </c>
      <c r="F68" s="88">
        <v>280.8644566842425</v>
      </c>
      <c r="G68" s="88">
        <v>280.8644566842425</v>
      </c>
      <c r="H68" s="88">
        <v>280.8644566842425</v>
      </c>
      <c r="I68" s="88">
        <v>280.8644566842425</v>
      </c>
      <c r="J68" s="88">
        <v>280.8644566842425</v>
      </c>
      <c r="K68" s="88">
        <v>280.8644566842425</v>
      </c>
      <c r="L68" s="88">
        <v>280.8644566842425</v>
      </c>
      <c r="M68" s="88">
        <v>280.8644566842425</v>
      </c>
    </row>
    <row r="69" spans="2:13" ht="11.45" customHeight="1" x14ac:dyDescent="0.2">
      <c r="B69" s="151"/>
      <c r="C69" s="145">
        <v>9.5000000000000001E-2</v>
      </c>
      <c r="D69" s="88">
        <v>280.8644566842425</v>
      </c>
      <c r="E69" s="88">
        <v>280.8644566842425</v>
      </c>
      <c r="F69" s="88">
        <v>280.8644566842425</v>
      </c>
      <c r="G69" s="88">
        <v>280.8644566842425</v>
      </c>
      <c r="H69" s="88">
        <v>280.8644566842425</v>
      </c>
      <c r="I69" s="88">
        <v>280.8644566842425</v>
      </c>
      <c r="J69" s="88">
        <v>280.8644566842425</v>
      </c>
      <c r="K69" s="88">
        <v>280.8644566842425</v>
      </c>
      <c r="L69" s="88">
        <v>280.8644566842425</v>
      </c>
      <c r="M69" s="88">
        <v>280.8644566842425</v>
      </c>
    </row>
    <row r="70" spans="2:13" ht="11.45" customHeight="1" x14ac:dyDescent="0.2">
      <c r="B70" s="151"/>
      <c r="C70" s="145">
        <v>9.7500000000000003E-2</v>
      </c>
      <c r="D70" s="88">
        <v>280.8644566842425</v>
      </c>
      <c r="E70" s="88">
        <v>280.8644566842425</v>
      </c>
      <c r="F70" s="88">
        <v>280.8644566842425</v>
      </c>
      <c r="G70" s="88">
        <v>280.8644566842425</v>
      </c>
      <c r="H70" s="88">
        <v>280.8644566842425</v>
      </c>
      <c r="I70" s="88">
        <v>280.8644566842425</v>
      </c>
      <c r="J70" s="88">
        <v>280.8644566842425</v>
      </c>
      <c r="K70" s="88">
        <v>280.8644566842425</v>
      </c>
      <c r="L70" s="88">
        <v>280.8644566842425</v>
      </c>
      <c r="M70" s="88">
        <v>280.8644566842425</v>
      </c>
    </row>
    <row r="71" spans="2:13" ht="11.45" customHeight="1" x14ac:dyDescent="0.2">
      <c r="B71" s="151"/>
      <c r="C71" s="145">
        <v>0.1</v>
      </c>
      <c r="D71" s="88">
        <v>280.8644566842425</v>
      </c>
      <c r="E71" s="88">
        <v>280.8644566842425</v>
      </c>
      <c r="F71" s="88">
        <v>280.8644566842425</v>
      </c>
      <c r="G71" s="88">
        <v>280.8644566842425</v>
      </c>
      <c r="H71" s="88">
        <v>280.8644566842425</v>
      </c>
      <c r="I71" s="88">
        <v>280.8644566842425</v>
      </c>
      <c r="J71" s="88">
        <v>280.8644566842425</v>
      </c>
      <c r="K71" s="88">
        <v>280.8644566842425</v>
      </c>
      <c r="L71" s="88">
        <v>280.8644566842425</v>
      </c>
      <c r="M71" s="88">
        <v>280.8644566842425</v>
      </c>
    </row>
    <row r="72" spans="2:13" ht="11.45" customHeight="1" x14ac:dyDescent="0.2">
      <c r="B72" s="151"/>
      <c r="C72" s="145">
        <v>0.10249999999999999</v>
      </c>
      <c r="D72" s="88">
        <v>280.8644566842425</v>
      </c>
      <c r="E72" s="88">
        <v>280.8644566842425</v>
      </c>
      <c r="F72" s="88">
        <v>280.8644566842425</v>
      </c>
      <c r="G72" s="88">
        <v>280.8644566842425</v>
      </c>
      <c r="H72" s="88">
        <v>280.8644566842425</v>
      </c>
      <c r="I72" s="88">
        <v>280.8644566842425</v>
      </c>
      <c r="J72" s="88">
        <v>280.8644566842425</v>
      </c>
      <c r="K72" s="88">
        <v>280.8644566842425</v>
      </c>
      <c r="L72" s="88">
        <v>280.8644566842425</v>
      </c>
      <c r="M72" s="88">
        <v>280.8644566842425</v>
      </c>
    </row>
  </sheetData>
  <mergeCells count="7">
    <mergeCell ref="B63:B72"/>
    <mergeCell ref="C61:M61"/>
    <mergeCell ref="G5:M5"/>
    <mergeCell ref="P10:Q10"/>
    <mergeCell ref="S10:T10"/>
    <mergeCell ref="B48:B57"/>
    <mergeCell ref="C46:M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DEC4-4C13-4F3C-BA57-9C1D92DA4350}">
  <dimension ref="C1:M21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21" sqref="G21"/>
    </sheetView>
  </sheetViews>
  <sheetFormatPr defaultColWidth="8.85546875" defaultRowHeight="12" x14ac:dyDescent="0.2"/>
  <cols>
    <col min="1" max="2" width="2.85546875" style="2" customWidth="1"/>
    <col min="3" max="3" width="37.7109375" style="2" bestFit="1" customWidth="1"/>
    <col min="4" max="5" width="8.85546875" style="2"/>
    <col min="6" max="6" width="29.5703125" style="2" customWidth="1"/>
    <col min="7" max="7" width="13.42578125" style="2" customWidth="1"/>
    <col min="8" max="8" width="8.85546875" style="2"/>
    <col min="9" max="9" width="24.7109375" style="2" customWidth="1"/>
    <col min="10" max="10" width="10.28515625" style="2" customWidth="1"/>
    <col min="11" max="11" width="8.7109375" style="2" customWidth="1"/>
    <col min="12" max="12" width="4.28515625" style="2" customWidth="1"/>
    <col min="13" max="16384" width="8.85546875" style="2"/>
  </cols>
  <sheetData>
    <row r="1" spans="3:13" ht="20.25" x14ac:dyDescent="0.3">
      <c r="C1" s="14" t="s">
        <v>0</v>
      </c>
    </row>
    <row r="2" spans="3:13" x14ac:dyDescent="0.2">
      <c r="C2" s="1" t="s">
        <v>335</v>
      </c>
    </row>
    <row r="3" spans="3:13" x14ac:dyDescent="0.2">
      <c r="C3" s="3"/>
    </row>
    <row r="7" spans="3:13" x14ac:dyDescent="0.2">
      <c r="C7" s="155" t="s">
        <v>317</v>
      </c>
      <c r="D7" s="156"/>
      <c r="F7" s="155" t="s">
        <v>348</v>
      </c>
      <c r="G7" s="156"/>
      <c r="I7" s="155" t="s">
        <v>320</v>
      </c>
      <c r="J7" s="157"/>
      <c r="K7" s="156"/>
    </row>
    <row r="8" spans="3:13" x14ac:dyDescent="0.2">
      <c r="C8" s="2" t="s">
        <v>336</v>
      </c>
      <c r="D8" s="101">
        <v>4.6800000000000001E-2</v>
      </c>
      <c r="F8" s="2" t="s">
        <v>349</v>
      </c>
      <c r="G8" s="59">
        <v>390.13</v>
      </c>
      <c r="I8" s="1" t="s">
        <v>343</v>
      </c>
      <c r="J8" s="31" t="s">
        <v>344</v>
      </c>
      <c r="K8" s="92" t="s">
        <v>342</v>
      </c>
    </row>
    <row r="9" spans="3:13" x14ac:dyDescent="0.2">
      <c r="C9" s="2" t="s">
        <v>337</v>
      </c>
      <c r="D9" s="101">
        <v>4.5999999999999999E-2</v>
      </c>
      <c r="F9" s="2" t="s">
        <v>350</v>
      </c>
      <c r="G9" s="10">
        <f>'Annual Model'!F30</f>
        <v>999</v>
      </c>
      <c r="I9" s="2" t="s">
        <v>273</v>
      </c>
      <c r="J9" s="94">
        <f>50058+1344</f>
        <v>51402</v>
      </c>
      <c r="K9" s="95">
        <f>J9/J14</f>
        <v>0.89882492830663774</v>
      </c>
      <c r="M9" s="2" t="s">
        <v>345</v>
      </c>
    </row>
    <row r="10" spans="3:13" x14ac:dyDescent="0.2">
      <c r="C10" s="2" t="s">
        <v>318</v>
      </c>
      <c r="D10" s="71">
        <v>1.01</v>
      </c>
      <c r="F10" s="93" t="s">
        <v>348</v>
      </c>
      <c r="G10" s="100">
        <f>G8*G9</f>
        <v>389739.87</v>
      </c>
      <c r="I10" s="2" t="s">
        <v>339</v>
      </c>
      <c r="J10" s="94">
        <v>5786</v>
      </c>
      <c r="K10" s="95">
        <f>J10/J14</f>
        <v>0.10117507169336225</v>
      </c>
      <c r="M10" s="2" t="s">
        <v>346</v>
      </c>
    </row>
    <row r="11" spans="3:13" x14ac:dyDescent="0.2">
      <c r="C11" s="93" t="s">
        <v>319</v>
      </c>
      <c r="D11" s="102">
        <f>D8+(D9*D10)</f>
        <v>9.326000000000001E-2</v>
      </c>
      <c r="F11" s="2" t="s">
        <v>272</v>
      </c>
      <c r="G11" s="10">
        <f>'Annual Model'!F31</f>
        <v>1002</v>
      </c>
      <c r="I11" s="2" t="s">
        <v>340</v>
      </c>
      <c r="J11" s="94">
        <v>0</v>
      </c>
      <c r="K11" s="95">
        <f>J11/J14</f>
        <v>0</v>
      </c>
    </row>
    <row r="12" spans="3:13" x14ac:dyDescent="0.2">
      <c r="C12" s="2" t="s">
        <v>354</v>
      </c>
      <c r="D12" s="61">
        <f>G13/(G13+J9)</f>
        <v>0.88378798272514536</v>
      </c>
      <c r="G12" s="10"/>
      <c r="J12" s="94"/>
      <c r="K12" s="95"/>
    </row>
    <row r="13" spans="3:13" x14ac:dyDescent="0.2">
      <c r="C13" s="93" t="s">
        <v>338</v>
      </c>
      <c r="D13" s="102">
        <v>4.1000000000000002E-2</v>
      </c>
      <c r="F13" s="93" t="s">
        <v>351</v>
      </c>
      <c r="G13" s="100">
        <f>G8*G11</f>
        <v>390910.26</v>
      </c>
      <c r="I13" s="70" t="s">
        <v>341</v>
      </c>
      <c r="J13" s="96">
        <v>0</v>
      </c>
      <c r="K13" s="97">
        <f>J13/J14</f>
        <v>0</v>
      </c>
    </row>
    <row r="14" spans="3:13" x14ac:dyDescent="0.2">
      <c r="C14" s="2" t="s">
        <v>354</v>
      </c>
      <c r="D14" s="61">
        <f>J9/(G13+J9)</f>
        <v>0.11621201727485464</v>
      </c>
      <c r="F14" s="7" t="s">
        <v>310</v>
      </c>
      <c r="G14" s="73">
        <v>-1531</v>
      </c>
      <c r="H14" s="2" t="s">
        <v>353</v>
      </c>
      <c r="I14" s="1" t="s">
        <v>347</v>
      </c>
      <c r="J14" s="98">
        <f>SUM(J9:J13)</f>
        <v>57188</v>
      </c>
      <c r="K14" s="99">
        <f>SUM(K9:K13)</f>
        <v>1</v>
      </c>
    </row>
    <row r="15" spans="3:13" x14ac:dyDescent="0.2">
      <c r="F15" s="7" t="s">
        <v>311</v>
      </c>
      <c r="G15" s="73">
        <v>-99</v>
      </c>
    </row>
    <row r="16" spans="3:13" x14ac:dyDescent="0.2">
      <c r="C16" s="93" t="s">
        <v>304</v>
      </c>
      <c r="D16" s="102">
        <f>(D11*D12)+(D13*D14)</f>
        <v>8.7186759977216102E-2</v>
      </c>
      <c r="F16" s="7" t="s">
        <v>312</v>
      </c>
      <c r="G16" s="73">
        <v>51402</v>
      </c>
    </row>
    <row r="17" spans="6:8" x14ac:dyDescent="0.2">
      <c r="F17" s="7" t="s">
        <v>313</v>
      </c>
      <c r="G17" s="73">
        <v>0</v>
      </c>
    </row>
    <row r="18" spans="6:8" x14ac:dyDescent="0.2">
      <c r="F18" s="7" t="s">
        <v>316</v>
      </c>
      <c r="G18" s="73">
        <v>8521</v>
      </c>
      <c r="H18" s="2" t="s">
        <v>353</v>
      </c>
    </row>
    <row r="19" spans="6:8" x14ac:dyDescent="0.2">
      <c r="F19" s="7" t="s">
        <v>314</v>
      </c>
      <c r="G19" s="73">
        <v>0</v>
      </c>
    </row>
    <row r="20" spans="6:8" x14ac:dyDescent="0.2">
      <c r="F20" s="7" t="s">
        <v>315</v>
      </c>
      <c r="G20" s="73">
        <v>0</v>
      </c>
    </row>
    <row r="21" spans="6:8" x14ac:dyDescent="0.2">
      <c r="F21" s="93" t="s">
        <v>352</v>
      </c>
      <c r="G21" s="100">
        <f>SUM(G13:G20)</f>
        <v>449203.26</v>
      </c>
    </row>
  </sheetData>
  <mergeCells count="3">
    <mergeCell ref="C7:D7"/>
    <mergeCell ref="F7:G7"/>
    <mergeCell ref="I7:K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EC26-8667-465A-B883-187A67E8646D}">
  <dimension ref="B1:X42"/>
  <sheetViews>
    <sheetView showGridLines="0" zoomScale="115" zoomScaleNormal="115" workbookViewId="0">
      <pane xSplit="2" ySplit="5" topLeftCell="K6" activePane="bottomRight" state="frozen"/>
      <selection pane="topRight" activeCell="C1" sqref="C1"/>
      <selection pane="bottomLeft" activeCell="A6" sqref="A6"/>
      <selection pane="bottomRight" activeCell="N42" sqref="N42"/>
    </sheetView>
  </sheetViews>
  <sheetFormatPr defaultColWidth="8.85546875" defaultRowHeight="12" outlineLevelCol="1" x14ac:dyDescent="0.2"/>
  <cols>
    <col min="1" max="1" width="3" style="2" customWidth="1"/>
    <col min="2" max="2" width="47.28515625" style="2" customWidth="1"/>
    <col min="3" max="3" width="13.28515625" style="2" customWidth="1"/>
    <col min="4" max="5" width="13.28515625" style="2" customWidth="1" outlineLevel="1"/>
    <col min="6" max="6" width="13.28515625" style="2" customWidth="1"/>
    <col min="7" max="12" width="13.28515625" style="2" customWidth="1" outlineLevel="1"/>
    <col min="13" max="22" width="13.28515625" style="2" customWidth="1"/>
    <col min="23" max="23" width="14.7109375" style="2" customWidth="1"/>
    <col min="24" max="24" width="14.5703125" style="2" customWidth="1"/>
    <col min="25" max="33" width="13.28515625" style="2" customWidth="1"/>
    <col min="34" max="16384" width="8.85546875" style="2"/>
  </cols>
  <sheetData>
    <row r="1" spans="2:24" ht="20.25" x14ac:dyDescent="0.3">
      <c r="B1" s="14" t="s">
        <v>0</v>
      </c>
    </row>
    <row r="2" spans="2:24" x14ac:dyDescent="0.2">
      <c r="B2" s="1" t="s">
        <v>371</v>
      </c>
    </row>
    <row r="4" spans="2:24" x14ac:dyDescent="0.2">
      <c r="B4" s="2" t="s">
        <v>394</v>
      </c>
    </row>
    <row r="9" spans="2:24" x14ac:dyDescent="0.2">
      <c r="G9" s="154" t="s">
        <v>393</v>
      </c>
      <c r="H9" s="154"/>
      <c r="I9" s="154"/>
      <c r="J9" s="154"/>
      <c r="K9" s="154"/>
      <c r="L9" s="154"/>
      <c r="M9" s="6"/>
      <c r="N9" s="154" t="s">
        <v>43</v>
      </c>
      <c r="O9" s="154"/>
      <c r="P9" s="154"/>
      <c r="Q9" s="154" t="s">
        <v>48</v>
      </c>
      <c r="R9" s="154"/>
      <c r="S9" s="154"/>
      <c r="T9" s="154" t="s">
        <v>280</v>
      </c>
      <c r="U9" s="154"/>
      <c r="V9" s="154"/>
      <c r="W9" s="154" t="s">
        <v>404</v>
      </c>
      <c r="X9" s="154"/>
    </row>
    <row r="10" spans="2:24" s="1" customFormat="1" x14ac:dyDescent="0.2">
      <c r="B10" s="124" t="s">
        <v>372</v>
      </c>
      <c r="C10" s="125" t="s">
        <v>373</v>
      </c>
      <c r="D10" s="125" t="s">
        <v>349</v>
      </c>
      <c r="E10" s="125" t="s">
        <v>397</v>
      </c>
      <c r="F10" s="125" t="s">
        <v>380</v>
      </c>
      <c r="G10" s="125" t="s">
        <v>318</v>
      </c>
      <c r="H10" s="125" t="s">
        <v>274</v>
      </c>
      <c r="I10" s="125" t="s">
        <v>391</v>
      </c>
      <c r="J10" s="125" t="s">
        <v>269</v>
      </c>
      <c r="K10" s="125" t="s">
        <v>321</v>
      </c>
      <c r="L10" s="125" t="s">
        <v>392</v>
      </c>
      <c r="M10" s="125" t="s">
        <v>374</v>
      </c>
      <c r="N10" s="125" t="s">
        <v>375</v>
      </c>
      <c r="O10" s="125" t="s">
        <v>376</v>
      </c>
      <c r="P10" s="125" t="s">
        <v>377</v>
      </c>
      <c r="Q10" s="125" t="s">
        <v>375</v>
      </c>
      <c r="R10" s="125" t="s">
        <v>376</v>
      </c>
      <c r="S10" s="125" t="s">
        <v>377</v>
      </c>
      <c r="T10" s="125" t="s">
        <v>375</v>
      </c>
      <c r="U10" s="125" t="s">
        <v>376</v>
      </c>
      <c r="V10" s="125" t="s">
        <v>377</v>
      </c>
      <c r="W10" s="125" t="s">
        <v>43</v>
      </c>
      <c r="X10" s="125" t="s">
        <v>48</v>
      </c>
    </row>
    <row r="11" spans="2:24" x14ac:dyDescent="0.2">
      <c r="B11" s="2" t="s">
        <v>381</v>
      </c>
      <c r="C11" s="33" t="s">
        <v>386</v>
      </c>
      <c r="D11" s="109">
        <v>248.66</v>
      </c>
      <c r="E11" s="106">
        <v>566</v>
      </c>
      <c r="F11" s="108">
        <f>D11*E11</f>
        <v>140741.56</v>
      </c>
      <c r="G11" s="106">
        <v>1.1000000000000001</v>
      </c>
      <c r="H11" s="62">
        <v>0.2361</v>
      </c>
      <c r="I11" s="11">
        <f>-3271+622</f>
        <v>-2649</v>
      </c>
      <c r="J11" s="11">
        <f>32759+622</f>
        <v>33381</v>
      </c>
      <c r="K11" s="11">
        <v>0</v>
      </c>
      <c r="L11" s="11">
        <v>0</v>
      </c>
      <c r="M11" s="108">
        <f>F11+I11+J11+K11+L11</f>
        <v>171473.56</v>
      </c>
      <c r="N11" s="126">
        <v>83722</v>
      </c>
      <c r="O11" s="126">
        <v>83330</v>
      </c>
      <c r="P11" s="126">
        <v>84670</v>
      </c>
      <c r="Q11" s="126">
        <v>12428</v>
      </c>
      <c r="R11" s="126">
        <v>12166</v>
      </c>
      <c r="S11" s="126">
        <v>12498</v>
      </c>
      <c r="T11" s="126">
        <v>6853</v>
      </c>
      <c r="U11" s="126">
        <v>7027</v>
      </c>
      <c r="V11" s="126">
        <v>7504</v>
      </c>
      <c r="W11" s="127">
        <f>P11/O11-1</f>
        <v>1.6080643225728997E-2</v>
      </c>
      <c r="X11" s="127">
        <f>S11/R11-1</f>
        <v>2.7289166529672837E-2</v>
      </c>
    </row>
    <row r="12" spans="2:24" x14ac:dyDescent="0.2">
      <c r="B12" s="2" t="s">
        <v>382</v>
      </c>
      <c r="C12" s="33" t="s">
        <v>390</v>
      </c>
      <c r="D12" s="109">
        <v>146.47</v>
      </c>
      <c r="E12" s="106">
        <v>116.9</v>
      </c>
      <c r="F12" s="108">
        <f>D12*E12</f>
        <v>17122.343000000001</v>
      </c>
      <c r="G12" s="71">
        <v>2.08</v>
      </c>
      <c r="H12" s="62">
        <v>0.23810000000000001</v>
      </c>
      <c r="I12" s="11">
        <v>-328</v>
      </c>
      <c r="J12" s="11">
        <f>3700+2.5</f>
        <v>3702.5</v>
      </c>
      <c r="K12" s="11">
        <v>0</v>
      </c>
      <c r="L12" s="11">
        <v>0</v>
      </c>
      <c r="M12" s="108">
        <f>F12+I12+J12+K12+L12</f>
        <v>20496.843000000001</v>
      </c>
      <c r="N12" s="126">
        <v>16731</v>
      </c>
      <c r="O12" s="126">
        <v>17240</v>
      </c>
      <c r="P12" s="126">
        <v>18406</v>
      </c>
      <c r="Q12" s="126">
        <v>2349.1</v>
      </c>
      <c r="R12" s="126">
        <v>2314</v>
      </c>
      <c r="S12" s="126">
        <v>2586</v>
      </c>
      <c r="T12" s="126">
        <v>1238.3</v>
      </c>
      <c r="U12" s="126">
        <v>1142</v>
      </c>
      <c r="V12" s="126">
        <v>1344</v>
      </c>
      <c r="W12" s="127">
        <f>P12/O12-1</f>
        <v>6.7633410672853778E-2</v>
      </c>
      <c r="X12" s="127">
        <f t="shared" ref="X12:X15" si="0">S12/R12-1</f>
        <v>0.11754537597234216</v>
      </c>
    </row>
    <row r="13" spans="2:24" x14ac:dyDescent="0.2">
      <c r="B13" s="2" t="s">
        <v>383</v>
      </c>
      <c r="C13" s="33" t="s">
        <v>387</v>
      </c>
      <c r="D13" s="109">
        <v>96.69</v>
      </c>
      <c r="E13" s="106">
        <v>108.3</v>
      </c>
      <c r="F13" s="108">
        <f t="shared" ref="F13:F15" si="1">D13*E13</f>
        <v>10471.527</v>
      </c>
      <c r="G13" s="71">
        <v>1.75</v>
      </c>
      <c r="H13" s="62">
        <v>0.21829999999999999</v>
      </c>
      <c r="I13" s="11">
        <v>-181</v>
      </c>
      <c r="J13" s="11">
        <v>201.6</v>
      </c>
      <c r="K13" s="11">
        <v>0</v>
      </c>
      <c r="L13" s="11">
        <v>0</v>
      </c>
      <c r="M13" s="108">
        <f t="shared" ref="M13:M15" si="2">F13+I13+J13+K13+L13</f>
        <v>10492.127</v>
      </c>
      <c r="N13" s="126">
        <v>4396.5</v>
      </c>
      <c r="O13" s="126">
        <v>4850</v>
      </c>
      <c r="P13" s="126">
        <v>5510</v>
      </c>
      <c r="Q13" s="126">
        <v>470.7</v>
      </c>
      <c r="R13" s="126">
        <v>562.5</v>
      </c>
      <c r="S13" s="126">
        <v>669.4</v>
      </c>
      <c r="T13" s="126">
        <v>195.5</v>
      </c>
      <c r="U13" s="126">
        <v>212</v>
      </c>
      <c r="V13" s="126">
        <v>270.3</v>
      </c>
      <c r="W13" s="127">
        <f t="shared" ref="W13:W15" si="3">P13/O13-1</f>
        <v>0.13608247422680408</v>
      </c>
      <c r="X13" s="127">
        <f t="shared" si="0"/>
        <v>0.19004444444444446</v>
      </c>
    </row>
    <row r="14" spans="2:24" x14ac:dyDescent="0.2">
      <c r="B14" s="2" t="s">
        <v>384</v>
      </c>
      <c r="C14" s="33" t="s">
        <v>388</v>
      </c>
      <c r="D14" s="109">
        <v>10.86</v>
      </c>
      <c r="E14" s="106">
        <v>140.69999999999999</v>
      </c>
      <c r="F14" s="108">
        <f t="shared" si="1"/>
        <v>1528.0019999999997</v>
      </c>
      <c r="G14" s="71">
        <v>2.5</v>
      </c>
      <c r="H14" s="62">
        <v>0.23089999999999999</v>
      </c>
      <c r="I14" s="11">
        <v>-178</v>
      </c>
      <c r="K14" s="107">
        <v>36.4</v>
      </c>
      <c r="L14" s="11">
        <v>0</v>
      </c>
      <c r="M14" s="108">
        <f t="shared" si="2"/>
        <v>1386.4019999999998</v>
      </c>
      <c r="N14" s="126">
        <v>1268</v>
      </c>
      <c r="O14" s="126">
        <v>1381</v>
      </c>
      <c r="P14" s="126">
        <v>1504</v>
      </c>
      <c r="Q14" s="126">
        <v>171.3</v>
      </c>
      <c r="R14" s="126">
        <v>156.80000000000001</v>
      </c>
      <c r="S14" s="126">
        <v>190.8</v>
      </c>
      <c r="T14" s="126">
        <v>78.5</v>
      </c>
      <c r="U14" s="126">
        <v>75.38</v>
      </c>
      <c r="V14" s="126">
        <v>98.17</v>
      </c>
      <c r="W14" s="127">
        <f t="shared" si="3"/>
        <v>8.9065894279507507E-2</v>
      </c>
      <c r="X14" s="127">
        <f t="shared" si="0"/>
        <v>0.21683673469387754</v>
      </c>
    </row>
    <row r="15" spans="2:24" x14ac:dyDescent="0.2">
      <c r="B15" s="2" t="s">
        <v>385</v>
      </c>
      <c r="C15" s="33" t="s">
        <v>389</v>
      </c>
      <c r="D15" s="109">
        <v>21.71</v>
      </c>
      <c r="E15" s="106">
        <v>16.8</v>
      </c>
      <c r="F15" s="108">
        <f t="shared" si="1"/>
        <v>364.72800000000001</v>
      </c>
      <c r="G15" s="71">
        <v>1.4</v>
      </c>
      <c r="H15" s="62">
        <v>0.2828</v>
      </c>
      <c r="I15" s="11">
        <v>-121</v>
      </c>
      <c r="J15" s="11">
        <v>0</v>
      </c>
      <c r="K15" s="11">
        <v>0</v>
      </c>
      <c r="L15" s="11">
        <v>0</v>
      </c>
      <c r="M15" s="108">
        <f t="shared" si="2"/>
        <v>243.72800000000001</v>
      </c>
      <c r="N15" s="126">
        <v>749.3</v>
      </c>
      <c r="O15" s="126">
        <v>764.3</v>
      </c>
      <c r="P15" s="126">
        <v>806.4</v>
      </c>
      <c r="Q15" s="126">
        <v>48.7</v>
      </c>
      <c r="R15" s="126">
        <v>69.19</v>
      </c>
      <c r="S15" s="126">
        <v>78</v>
      </c>
      <c r="T15" s="126">
        <v>26.8</v>
      </c>
      <c r="U15" s="126">
        <v>43.77</v>
      </c>
      <c r="V15" s="126">
        <v>52.15</v>
      </c>
      <c r="W15" s="127">
        <f t="shared" si="3"/>
        <v>5.5083082559204577E-2</v>
      </c>
      <c r="X15" s="127">
        <f t="shared" si="0"/>
        <v>0.12733053909524505</v>
      </c>
    </row>
    <row r="17" spans="2:24" x14ac:dyDescent="0.2">
      <c r="C17" s="70"/>
    </row>
    <row r="18" spans="2:24" x14ac:dyDescent="0.2">
      <c r="B18" s="110" t="s">
        <v>398</v>
      </c>
      <c r="D18" s="114">
        <f>MAX(D11:D15)</f>
        <v>248.66</v>
      </c>
      <c r="E18" s="111"/>
      <c r="F18" s="115">
        <f>MAX(F11:F15)</f>
        <v>140741.56</v>
      </c>
      <c r="G18" s="111"/>
      <c r="H18" s="111"/>
      <c r="I18" s="111"/>
      <c r="J18" s="111"/>
      <c r="K18" s="111"/>
      <c r="L18" s="111"/>
      <c r="M18" s="115">
        <f t="shared" ref="M18:X18" si="4">MAX(M11:M15)</f>
        <v>171473.56</v>
      </c>
      <c r="N18" s="115">
        <f t="shared" si="4"/>
        <v>83722</v>
      </c>
      <c r="O18" s="115">
        <f t="shared" si="4"/>
        <v>83330</v>
      </c>
      <c r="P18" s="115">
        <f t="shared" si="4"/>
        <v>84670</v>
      </c>
      <c r="Q18" s="115">
        <f t="shared" si="4"/>
        <v>12428</v>
      </c>
      <c r="R18" s="115">
        <f t="shared" si="4"/>
        <v>12166</v>
      </c>
      <c r="S18" s="115">
        <f t="shared" si="4"/>
        <v>12498</v>
      </c>
      <c r="T18" s="115">
        <f t="shared" si="4"/>
        <v>6853</v>
      </c>
      <c r="U18" s="115">
        <f t="shared" si="4"/>
        <v>7027</v>
      </c>
      <c r="V18" s="115">
        <f t="shared" si="4"/>
        <v>7504</v>
      </c>
      <c r="W18" s="128">
        <f t="shared" si="4"/>
        <v>0.13608247422680408</v>
      </c>
      <c r="X18" s="129">
        <f t="shared" si="4"/>
        <v>0.21683673469387754</v>
      </c>
    </row>
    <row r="19" spans="2:24" x14ac:dyDescent="0.2">
      <c r="B19" s="112" t="s">
        <v>399</v>
      </c>
      <c r="C19" s="108"/>
      <c r="D19" s="108">
        <f>_xlfn.QUARTILE.EXC(D11:D15,3)</f>
        <v>197.565</v>
      </c>
      <c r="E19" s="108"/>
      <c r="F19" s="108">
        <f>_xlfn.QUARTILE.EXC(F11:F15,3)</f>
        <v>78931.951499999996</v>
      </c>
      <c r="G19" s="108"/>
      <c r="H19" s="108"/>
      <c r="I19" s="108"/>
      <c r="J19" s="108"/>
      <c r="K19" s="108"/>
      <c r="L19" s="108"/>
      <c r="M19" s="108">
        <f t="shared" ref="M19:X19" si="5">_xlfn.QUARTILE.EXC(M11:M15,3)</f>
        <v>95985.201499999996</v>
      </c>
      <c r="N19" s="108">
        <f t="shared" si="5"/>
        <v>50226.5</v>
      </c>
      <c r="O19" s="108">
        <f t="shared" si="5"/>
        <v>50285</v>
      </c>
      <c r="P19" s="108">
        <f t="shared" si="5"/>
        <v>51538</v>
      </c>
      <c r="Q19" s="108">
        <f t="shared" si="5"/>
        <v>7388.5499999999993</v>
      </c>
      <c r="R19" s="108">
        <f t="shared" si="5"/>
        <v>7240</v>
      </c>
      <c r="S19" s="108">
        <f t="shared" si="5"/>
        <v>7542</v>
      </c>
      <c r="T19" s="108">
        <f t="shared" si="5"/>
        <v>4045.6499999999996</v>
      </c>
      <c r="U19" s="108">
        <f t="shared" si="5"/>
        <v>4084.5</v>
      </c>
      <c r="V19" s="108">
        <f t="shared" si="5"/>
        <v>4424</v>
      </c>
      <c r="W19" s="127">
        <f t="shared" si="5"/>
        <v>0.1125741842531558</v>
      </c>
      <c r="X19" s="130">
        <f t="shared" si="5"/>
        <v>0.203440589569161</v>
      </c>
    </row>
    <row r="20" spans="2:24" s="1" customFormat="1" x14ac:dyDescent="0.2">
      <c r="B20" s="131" t="s">
        <v>400</v>
      </c>
      <c r="C20" s="16"/>
      <c r="D20" s="132">
        <f>MEDIAN(D11:D15)</f>
        <v>96.69</v>
      </c>
      <c r="E20" s="16"/>
      <c r="F20" s="132">
        <f>MEDIAN(F11:F15)</f>
        <v>10471.527</v>
      </c>
      <c r="G20" s="16"/>
      <c r="H20" s="16"/>
      <c r="I20" s="16"/>
      <c r="J20" s="16"/>
      <c r="K20" s="16"/>
      <c r="L20" s="16"/>
      <c r="M20" s="132">
        <f t="shared" ref="M20:X20" si="6">MEDIAN(M11:M15)</f>
        <v>10492.127</v>
      </c>
      <c r="N20" s="132">
        <f t="shared" si="6"/>
        <v>4396.5</v>
      </c>
      <c r="O20" s="132">
        <f t="shared" si="6"/>
        <v>4850</v>
      </c>
      <c r="P20" s="132">
        <f t="shared" si="6"/>
        <v>5510</v>
      </c>
      <c r="Q20" s="132">
        <f t="shared" si="6"/>
        <v>470.7</v>
      </c>
      <c r="R20" s="132">
        <f t="shared" si="6"/>
        <v>562.5</v>
      </c>
      <c r="S20" s="132">
        <f t="shared" si="6"/>
        <v>669.4</v>
      </c>
      <c r="T20" s="132">
        <f t="shared" si="6"/>
        <v>195.5</v>
      </c>
      <c r="U20" s="132">
        <f t="shared" si="6"/>
        <v>212</v>
      </c>
      <c r="V20" s="132">
        <f t="shared" si="6"/>
        <v>270.3</v>
      </c>
      <c r="W20" s="133">
        <f t="shared" si="6"/>
        <v>6.7633410672853778E-2</v>
      </c>
      <c r="X20" s="134">
        <f t="shared" si="6"/>
        <v>0.12733053909524505</v>
      </c>
    </row>
    <row r="21" spans="2:24" x14ac:dyDescent="0.2">
      <c r="B21" s="112" t="s">
        <v>401</v>
      </c>
      <c r="D21" s="108">
        <f>_xlfn.QUARTILE.EXC(D11:D15,1)</f>
        <v>16.285</v>
      </c>
      <c r="F21" s="108">
        <f>_xlfn.QUARTILE.EXC(F11:F15,1)</f>
        <v>946.36499999999978</v>
      </c>
      <c r="M21" s="108">
        <f t="shared" ref="M21:X21" si="7">_xlfn.QUARTILE.EXC(M11:M15,1)</f>
        <v>815.06499999999983</v>
      </c>
      <c r="N21" s="108">
        <f t="shared" si="7"/>
        <v>1008.65</v>
      </c>
      <c r="O21" s="108">
        <f t="shared" si="7"/>
        <v>1072.6500000000001</v>
      </c>
      <c r="P21" s="108">
        <f t="shared" si="7"/>
        <v>1155.2</v>
      </c>
      <c r="Q21" s="108">
        <f t="shared" si="7"/>
        <v>110</v>
      </c>
      <c r="R21" s="108">
        <f t="shared" si="7"/>
        <v>112.995</v>
      </c>
      <c r="S21" s="108">
        <f t="shared" si="7"/>
        <v>134.4</v>
      </c>
      <c r="T21" s="108">
        <f t="shared" si="7"/>
        <v>52.650000000000006</v>
      </c>
      <c r="U21" s="108">
        <f t="shared" si="7"/>
        <v>59.575000000000003</v>
      </c>
      <c r="V21" s="108">
        <f t="shared" si="7"/>
        <v>75.16</v>
      </c>
      <c r="W21" s="127">
        <f t="shared" si="7"/>
        <v>3.5581862892466787E-2</v>
      </c>
      <c r="X21" s="130">
        <f t="shared" si="7"/>
        <v>7.2417271251007498E-2</v>
      </c>
    </row>
    <row r="22" spans="2:24" x14ac:dyDescent="0.2">
      <c r="B22" s="113" t="s">
        <v>402</v>
      </c>
      <c r="C22" s="70"/>
      <c r="D22" s="116">
        <f>MIN(D11:D15)</f>
        <v>10.86</v>
      </c>
      <c r="E22" s="70"/>
      <c r="F22" s="116">
        <f>MIN(F11:F15)</f>
        <v>364.72800000000001</v>
      </c>
      <c r="G22" s="70"/>
      <c r="H22" s="70"/>
      <c r="I22" s="70"/>
      <c r="J22" s="70"/>
      <c r="K22" s="70"/>
      <c r="L22" s="70"/>
      <c r="M22" s="116">
        <f t="shared" ref="M22:X22" si="8">MIN(M11:M15)</f>
        <v>243.72800000000001</v>
      </c>
      <c r="N22" s="116">
        <f t="shared" si="8"/>
        <v>749.3</v>
      </c>
      <c r="O22" s="116">
        <f t="shared" si="8"/>
        <v>764.3</v>
      </c>
      <c r="P22" s="116">
        <f t="shared" si="8"/>
        <v>806.4</v>
      </c>
      <c r="Q22" s="116">
        <f t="shared" si="8"/>
        <v>48.7</v>
      </c>
      <c r="R22" s="116">
        <f t="shared" si="8"/>
        <v>69.19</v>
      </c>
      <c r="S22" s="116">
        <f t="shared" si="8"/>
        <v>78</v>
      </c>
      <c r="T22" s="116">
        <f t="shared" si="8"/>
        <v>26.8</v>
      </c>
      <c r="U22" s="116">
        <f t="shared" si="8"/>
        <v>43.77</v>
      </c>
      <c r="V22" s="116">
        <f t="shared" si="8"/>
        <v>52.15</v>
      </c>
      <c r="W22" s="135">
        <f t="shared" si="8"/>
        <v>1.6080643225728997E-2</v>
      </c>
      <c r="X22" s="136">
        <f t="shared" si="8"/>
        <v>2.7289166529672837E-2</v>
      </c>
    </row>
    <row r="24" spans="2:24" s="117" customFormat="1" x14ac:dyDescent="0.2">
      <c r="B24" s="131" t="s">
        <v>395</v>
      </c>
      <c r="C24" s="125" t="s">
        <v>396</v>
      </c>
      <c r="D24" s="137">
        <v>390.13</v>
      </c>
      <c r="E24" s="138">
        <v>1002</v>
      </c>
      <c r="F24" s="137">
        <f>D24*E24</f>
        <v>390910.26</v>
      </c>
      <c r="G24" s="124">
        <v>1.01</v>
      </c>
      <c r="H24" s="139">
        <v>0.24</v>
      </c>
      <c r="I24" s="140">
        <v>-1531</v>
      </c>
      <c r="J24" s="140">
        <f>44111+777</f>
        <v>44888</v>
      </c>
      <c r="K24" s="140">
        <v>0</v>
      </c>
      <c r="L24" s="140">
        <v>0</v>
      </c>
      <c r="M24" s="137">
        <f>F24+I24+J24+K24+L24</f>
        <v>434267.26</v>
      </c>
      <c r="N24" s="140">
        <v>154596</v>
      </c>
      <c r="O24" s="140">
        <f>DCF!G11</f>
        <v>154195.69</v>
      </c>
      <c r="P24" s="140">
        <f>DCF!H11</f>
        <v>158821.5607</v>
      </c>
      <c r="Q24" s="140">
        <v>24984</v>
      </c>
      <c r="R24" s="140">
        <v>25191</v>
      </c>
      <c r="S24" s="140">
        <v>26089</v>
      </c>
      <c r="T24" s="140">
        <v>14610</v>
      </c>
      <c r="U24" s="140">
        <v>14792</v>
      </c>
      <c r="V24" s="140">
        <v>15453</v>
      </c>
      <c r="W24" s="141">
        <f>P24/O24-1</f>
        <v>3.0000000000000027E-2</v>
      </c>
      <c r="X24" s="141">
        <f t="shared" ref="X24" si="9">S24/R24-1</f>
        <v>3.5647651939184621E-2</v>
      </c>
    </row>
    <row r="28" spans="2:24" x14ac:dyDescent="0.2">
      <c r="G28" s="154" t="s">
        <v>393</v>
      </c>
      <c r="H28" s="154"/>
      <c r="I28" s="154"/>
      <c r="J28" s="154"/>
      <c r="K28" s="154"/>
      <c r="L28" s="154"/>
      <c r="M28" s="104"/>
      <c r="N28" s="154" t="s">
        <v>378</v>
      </c>
      <c r="O28" s="154"/>
      <c r="P28" s="154"/>
      <c r="Q28" s="154" t="s">
        <v>379</v>
      </c>
      <c r="R28" s="154"/>
      <c r="S28" s="154"/>
      <c r="T28" s="154" t="s">
        <v>403</v>
      </c>
      <c r="U28" s="154"/>
      <c r="V28" s="154"/>
    </row>
    <row r="29" spans="2:24" s="1" customFormat="1" x14ac:dyDescent="0.2">
      <c r="B29" s="124" t="s">
        <v>372</v>
      </c>
      <c r="C29" s="125" t="s">
        <v>373</v>
      </c>
      <c r="D29" s="125"/>
      <c r="E29" s="125"/>
      <c r="F29" s="125" t="s">
        <v>380</v>
      </c>
      <c r="G29" s="125"/>
      <c r="H29" s="125"/>
      <c r="I29" s="125"/>
      <c r="J29" s="125"/>
      <c r="K29" s="125"/>
      <c r="L29" s="125"/>
      <c r="M29" s="125" t="s">
        <v>374</v>
      </c>
      <c r="N29" s="125" t="s">
        <v>375</v>
      </c>
      <c r="O29" s="125" t="s">
        <v>376</v>
      </c>
      <c r="P29" s="125" t="s">
        <v>377</v>
      </c>
      <c r="Q29" s="125" t="s">
        <v>375</v>
      </c>
      <c r="R29" s="125" t="s">
        <v>376</v>
      </c>
      <c r="S29" s="125" t="s">
        <v>377</v>
      </c>
      <c r="T29" s="125" t="s">
        <v>375</v>
      </c>
      <c r="U29" s="125" t="s">
        <v>376</v>
      </c>
      <c r="V29" s="125" t="s">
        <v>377</v>
      </c>
    </row>
    <row r="30" spans="2:24" x14ac:dyDescent="0.2">
      <c r="B30" s="2" t="s">
        <v>381</v>
      </c>
      <c r="C30" s="33" t="s">
        <v>386</v>
      </c>
      <c r="F30" s="108">
        <f>F11</f>
        <v>140741.56</v>
      </c>
      <c r="G30" s="10"/>
      <c r="H30" s="10"/>
      <c r="I30" s="10"/>
      <c r="J30" s="10"/>
      <c r="K30" s="10"/>
      <c r="M30" s="108">
        <f>M11</f>
        <v>171473.56</v>
      </c>
      <c r="N30" s="118">
        <f>IFERROR(IF(OR($M11/N11&lt;0,$M11/N11&gt;=100), "NM", $M11/N11), "N/A")</f>
        <v>2.0481302405580375</v>
      </c>
      <c r="O30" s="118">
        <f t="shared" ref="N30:S34" si="10">IFERROR(IF(OR($M11/O11&lt;0,$M11/O11&gt;=100), "NM", $M11/O11), "N/A")</f>
        <v>2.0577650306012241</v>
      </c>
      <c r="P30" s="118">
        <f t="shared" si="10"/>
        <v>2.0251985354907287</v>
      </c>
      <c r="Q30" s="118">
        <f t="shared" si="10"/>
        <v>13.797357579658835</v>
      </c>
      <c r="R30" s="118">
        <f t="shared" si="10"/>
        <v>14.094489561071839</v>
      </c>
      <c r="S30" s="118">
        <f t="shared" si="10"/>
        <v>13.720080012802049</v>
      </c>
      <c r="T30" s="118">
        <f t="shared" ref="T30:V34" si="11">IFERROR(IF(OR($F11/T11&lt;0,$F11/T11&gt;=100), "NM", $F11/T11), "N/A")</f>
        <v>20.537218736319861</v>
      </c>
      <c r="U30" s="118">
        <f t="shared" si="11"/>
        <v>20.028683648783264</v>
      </c>
      <c r="V30" s="118">
        <f t="shared" si="11"/>
        <v>18.755538379530918</v>
      </c>
    </row>
    <row r="31" spans="2:24" x14ac:dyDescent="0.2">
      <c r="B31" s="2" t="s">
        <v>382</v>
      </c>
      <c r="C31" s="33" t="s">
        <v>390</v>
      </c>
      <c r="F31" s="108">
        <f>F12</f>
        <v>17122.343000000001</v>
      </c>
      <c r="G31" s="10"/>
      <c r="H31" s="10"/>
      <c r="I31" s="10"/>
      <c r="J31" s="10"/>
      <c r="K31" s="10"/>
      <c r="M31" s="108">
        <f>M12</f>
        <v>20496.843000000001</v>
      </c>
      <c r="N31" s="118">
        <f t="shared" si="10"/>
        <v>1.2250817643894567</v>
      </c>
      <c r="O31" s="118">
        <f t="shared" si="10"/>
        <v>1.188912006960557</v>
      </c>
      <c r="P31" s="118">
        <f t="shared" si="10"/>
        <v>1.1135957296533738</v>
      </c>
      <c r="Q31" s="118">
        <f t="shared" si="10"/>
        <v>8.7254024945723909</v>
      </c>
      <c r="R31" s="118">
        <f t="shared" si="10"/>
        <v>8.8577541054451174</v>
      </c>
      <c r="S31" s="118">
        <f t="shared" si="10"/>
        <v>7.9260800464037127</v>
      </c>
      <c r="T31" s="118">
        <f t="shared" si="11"/>
        <v>13.827297908422839</v>
      </c>
      <c r="U31" s="118">
        <f t="shared" si="11"/>
        <v>14.993295096322242</v>
      </c>
      <c r="V31" s="118">
        <f t="shared" si="11"/>
        <v>12.739838541666668</v>
      </c>
    </row>
    <row r="32" spans="2:24" x14ac:dyDescent="0.2">
      <c r="B32" s="2" t="s">
        <v>383</v>
      </c>
      <c r="C32" s="33" t="s">
        <v>387</v>
      </c>
      <c r="D32" s="10"/>
      <c r="E32" s="10"/>
      <c r="F32" s="108">
        <f>F13</f>
        <v>10471.527</v>
      </c>
      <c r="G32" s="10"/>
      <c r="H32" s="10"/>
      <c r="I32" s="10"/>
      <c r="J32" s="10"/>
      <c r="K32" s="10"/>
      <c r="M32" s="108">
        <f>M13</f>
        <v>10492.127</v>
      </c>
      <c r="N32" s="118">
        <f t="shared" si="10"/>
        <v>2.3864726486978278</v>
      </c>
      <c r="O32" s="118">
        <f t="shared" si="10"/>
        <v>2.1633251546391752</v>
      </c>
      <c r="P32" s="118">
        <f t="shared" si="10"/>
        <v>1.9041972776769511</v>
      </c>
      <c r="Q32" s="118">
        <f t="shared" si="10"/>
        <v>22.290475886976843</v>
      </c>
      <c r="R32" s="118">
        <f t="shared" si="10"/>
        <v>18.652670222222223</v>
      </c>
      <c r="S32" s="118">
        <f t="shared" si="10"/>
        <v>15.673927397669557</v>
      </c>
      <c r="T32" s="118">
        <f t="shared" si="11"/>
        <v>53.562797953964193</v>
      </c>
      <c r="U32" s="118">
        <f t="shared" si="11"/>
        <v>49.393995283018867</v>
      </c>
      <c r="V32" s="118">
        <f t="shared" si="11"/>
        <v>38.740388457269702</v>
      </c>
    </row>
    <row r="33" spans="2:23" x14ac:dyDescent="0.2">
      <c r="B33" s="2" t="s">
        <v>384</v>
      </c>
      <c r="C33" s="33" t="s">
        <v>388</v>
      </c>
      <c r="D33" s="10"/>
      <c r="E33" s="10"/>
      <c r="F33" s="108">
        <f>F14</f>
        <v>1528.0019999999997</v>
      </c>
      <c r="G33" s="10"/>
      <c r="H33" s="10"/>
      <c r="I33" s="10"/>
      <c r="J33" s="10"/>
      <c r="K33" s="10"/>
      <c r="M33" s="108">
        <f>M14</f>
        <v>1386.4019999999998</v>
      </c>
      <c r="N33" s="118">
        <f t="shared" si="10"/>
        <v>1.0933769716088326</v>
      </c>
      <c r="O33" s="118">
        <f t="shared" si="10"/>
        <v>1.003911658218682</v>
      </c>
      <c r="P33" s="118">
        <f t="shared" si="10"/>
        <v>0.92180984042553182</v>
      </c>
      <c r="Q33" s="118">
        <f t="shared" si="10"/>
        <v>8.0934150612959712</v>
      </c>
      <c r="R33" s="118">
        <f t="shared" si="10"/>
        <v>8.8418494897959157</v>
      </c>
      <c r="S33" s="118">
        <f t="shared" si="10"/>
        <v>7.2662578616352187</v>
      </c>
      <c r="T33" s="118">
        <f t="shared" si="11"/>
        <v>19.464993630573243</v>
      </c>
      <c r="U33" s="118">
        <f t="shared" si="11"/>
        <v>20.270655346245686</v>
      </c>
      <c r="V33" s="118">
        <f t="shared" si="11"/>
        <v>15.564856880920848</v>
      </c>
    </row>
    <row r="34" spans="2:23" x14ac:dyDescent="0.2">
      <c r="B34" s="2" t="s">
        <v>385</v>
      </c>
      <c r="C34" s="33" t="s">
        <v>389</v>
      </c>
      <c r="D34" s="10"/>
      <c r="E34" s="10"/>
      <c r="F34" s="108">
        <f>F15</f>
        <v>364.72800000000001</v>
      </c>
      <c r="G34" s="10"/>
      <c r="H34" s="10"/>
      <c r="I34" s="10"/>
      <c r="J34" s="10"/>
      <c r="K34" s="10"/>
      <c r="M34" s="108">
        <f>M15</f>
        <v>243.72800000000001</v>
      </c>
      <c r="N34" s="118">
        <f t="shared" si="10"/>
        <v>0.3252742559722408</v>
      </c>
      <c r="O34" s="118">
        <f t="shared" si="10"/>
        <v>0.3188904880282612</v>
      </c>
      <c r="P34" s="118">
        <f t="shared" si="10"/>
        <v>0.30224206349206351</v>
      </c>
      <c r="Q34" s="118">
        <f t="shared" si="10"/>
        <v>5.0046817248459954</v>
      </c>
      <c r="R34" s="118">
        <f t="shared" si="10"/>
        <v>3.5225899696487932</v>
      </c>
      <c r="S34" s="118">
        <f t="shared" si="10"/>
        <v>3.1247179487179486</v>
      </c>
      <c r="T34" s="118">
        <f t="shared" si="11"/>
        <v>13.609253731343284</v>
      </c>
      <c r="U34" s="118">
        <f t="shared" si="11"/>
        <v>8.3328307059629871</v>
      </c>
      <c r="V34" s="118">
        <f t="shared" si="11"/>
        <v>6.9938255033557049</v>
      </c>
    </row>
    <row r="35" spans="2:23" x14ac:dyDescent="0.2">
      <c r="N35" s="33"/>
      <c r="O35" s="33"/>
      <c r="P35" s="33"/>
      <c r="Q35" s="33"/>
      <c r="R35" s="33"/>
      <c r="S35" s="33"/>
      <c r="T35" s="33"/>
      <c r="U35" s="33"/>
      <c r="V35" s="33"/>
    </row>
    <row r="36" spans="2:23" x14ac:dyDescent="0.2">
      <c r="B36" s="110" t="s">
        <v>398</v>
      </c>
      <c r="C36" s="111"/>
      <c r="D36" s="114"/>
      <c r="E36" s="111"/>
      <c r="F36" s="115">
        <f>MAX(F30:F34)</f>
        <v>140741.56</v>
      </c>
      <c r="G36" s="111"/>
      <c r="H36" s="111"/>
      <c r="I36" s="111"/>
      <c r="J36" s="111"/>
      <c r="K36" s="111"/>
      <c r="L36" s="111"/>
      <c r="M36" s="115">
        <f t="shared" ref="M36:V36" si="12">MAX(M30:M34)</f>
        <v>171473.56</v>
      </c>
      <c r="N36" s="119">
        <f t="shared" si="12"/>
        <v>2.3864726486978278</v>
      </c>
      <c r="O36" s="119">
        <f t="shared" si="12"/>
        <v>2.1633251546391752</v>
      </c>
      <c r="P36" s="119">
        <f t="shared" si="12"/>
        <v>2.0251985354907287</v>
      </c>
      <c r="Q36" s="119">
        <f t="shared" si="12"/>
        <v>22.290475886976843</v>
      </c>
      <c r="R36" s="119">
        <f t="shared" si="12"/>
        <v>18.652670222222223</v>
      </c>
      <c r="S36" s="119">
        <f t="shared" si="12"/>
        <v>15.673927397669557</v>
      </c>
      <c r="T36" s="119">
        <f t="shared" si="12"/>
        <v>53.562797953964193</v>
      </c>
      <c r="U36" s="119">
        <f t="shared" si="12"/>
        <v>49.393995283018867</v>
      </c>
      <c r="V36" s="120">
        <f t="shared" si="12"/>
        <v>38.740388457269702</v>
      </c>
    </row>
    <row r="37" spans="2:23" x14ac:dyDescent="0.2">
      <c r="B37" s="112" t="s">
        <v>399</v>
      </c>
      <c r="C37" s="108"/>
      <c r="D37" s="108"/>
      <c r="E37" s="108"/>
      <c r="F37" s="108">
        <f>_xlfn.QUARTILE.EXC(F30:F34,3)</f>
        <v>78931.951499999996</v>
      </c>
      <c r="G37" s="108"/>
      <c r="H37" s="108"/>
      <c r="I37" s="108"/>
      <c r="J37" s="108"/>
      <c r="K37" s="108"/>
      <c r="L37" s="108"/>
      <c r="M37" s="108">
        <f t="shared" ref="M37" si="13">_xlfn.QUARTILE.EXC(M30:M34,3)</f>
        <v>95985.201499999996</v>
      </c>
      <c r="N37" s="118">
        <f>_xlfn.QUARTILE.EXC(N30:N34,3)</f>
        <v>2.2173014446279327</v>
      </c>
      <c r="O37" s="118">
        <f t="shared" ref="O37:V37" si="14">_xlfn.QUARTILE.EXC(O30:O34,3)</f>
        <v>2.1105450926201996</v>
      </c>
      <c r="P37" s="118">
        <f t="shared" si="14"/>
        <v>1.9646979065838399</v>
      </c>
      <c r="Q37" s="118">
        <f t="shared" si="14"/>
        <v>18.04391673331784</v>
      </c>
      <c r="R37" s="118">
        <f t="shared" si="14"/>
        <v>16.373579891647033</v>
      </c>
      <c r="S37" s="118">
        <f t="shared" si="14"/>
        <v>14.697003705235803</v>
      </c>
      <c r="T37" s="118">
        <f t="shared" si="14"/>
        <v>37.050008345142032</v>
      </c>
      <c r="U37" s="118">
        <f t="shared" si="14"/>
        <v>34.832325314632278</v>
      </c>
      <c r="V37" s="121">
        <f t="shared" si="14"/>
        <v>28.74796341840031</v>
      </c>
    </row>
    <row r="38" spans="2:23" x14ac:dyDescent="0.2">
      <c r="B38" s="131" t="s">
        <v>400</v>
      </c>
      <c r="C38" s="16"/>
      <c r="D38" s="132"/>
      <c r="E38" s="16"/>
      <c r="F38" s="132">
        <f>MEDIAN(F30:F34)</f>
        <v>10471.527</v>
      </c>
      <c r="G38" s="132"/>
      <c r="H38" s="132"/>
      <c r="I38" s="132"/>
      <c r="J38" s="132"/>
      <c r="K38" s="132"/>
      <c r="L38" s="132"/>
      <c r="M38" s="132">
        <f t="shared" ref="M38" si="15">MEDIAN(M30:M34)</f>
        <v>10492.127</v>
      </c>
      <c r="N38" s="142">
        <f>MEDIAN(N30:N34)</f>
        <v>1.2250817643894567</v>
      </c>
      <c r="O38" s="142">
        <f t="shared" ref="O38:V38" si="16">MEDIAN(O30:O34)</f>
        <v>1.188912006960557</v>
      </c>
      <c r="P38" s="142">
        <f t="shared" si="16"/>
        <v>1.1135957296533738</v>
      </c>
      <c r="Q38" s="142">
        <f t="shared" si="16"/>
        <v>8.7254024945723909</v>
      </c>
      <c r="R38" s="142">
        <f t="shared" si="16"/>
        <v>8.8577541054451174</v>
      </c>
      <c r="S38" s="142">
        <f t="shared" si="16"/>
        <v>7.9260800464037127</v>
      </c>
      <c r="T38" s="142">
        <f t="shared" si="16"/>
        <v>19.464993630573243</v>
      </c>
      <c r="U38" s="142">
        <f t="shared" si="16"/>
        <v>20.028683648783264</v>
      </c>
      <c r="V38" s="143">
        <f t="shared" si="16"/>
        <v>15.564856880920848</v>
      </c>
    </row>
    <row r="39" spans="2:23" x14ac:dyDescent="0.2">
      <c r="B39" s="112" t="s">
        <v>401</v>
      </c>
      <c r="D39" s="108"/>
      <c r="F39" s="108">
        <f>_xlfn.QUARTILE.EXC(F30:F34,1)</f>
        <v>946.36499999999978</v>
      </c>
      <c r="G39" s="108"/>
      <c r="H39" s="108"/>
      <c r="I39" s="108"/>
      <c r="J39" s="108"/>
      <c r="K39" s="108"/>
      <c r="L39" s="108"/>
      <c r="M39" s="108">
        <f t="shared" ref="M39" si="17">_xlfn.QUARTILE.EXC(M30:M34,1)</f>
        <v>815.06499999999983</v>
      </c>
      <c r="N39" s="118">
        <f>_xlfn.QUARTILE.EXC(N30:N34,1)</f>
        <v>0.70932561379053671</v>
      </c>
      <c r="O39" s="118">
        <f t="shared" ref="O39:V39" si="18">_xlfn.QUARTILE.EXC(O30:O34,1)</f>
        <v>0.66140107312347163</v>
      </c>
      <c r="P39" s="118">
        <f t="shared" si="18"/>
        <v>0.61202595195879761</v>
      </c>
      <c r="Q39" s="118">
        <f t="shared" si="18"/>
        <v>6.5490483930709829</v>
      </c>
      <c r="R39" s="118">
        <f t="shared" si="18"/>
        <v>6.1822197297223545</v>
      </c>
      <c r="S39" s="118">
        <f t="shared" si="18"/>
        <v>5.1954879051765843</v>
      </c>
      <c r="T39" s="118">
        <f t="shared" si="18"/>
        <v>13.718275819883061</v>
      </c>
      <c r="U39" s="118">
        <f t="shared" si="18"/>
        <v>11.663062901142615</v>
      </c>
      <c r="V39" s="121">
        <f t="shared" si="18"/>
        <v>9.8668320225111863</v>
      </c>
    </row>
    <row r="40" spans="2:23" x14ac:dyDescent="0.2">
      <c r="B40" s="113" t="s">
        <v>402</v>
      </c>
      <c r="C40" s="70"/>
      <c r="D40" s="116"/>
      <c r="E40" s="70"/>
      <c r="F40" s="116">
        <f>MIN(F30:F34)</f>
        <v>364.72800000000001</v>
      </c>
      <c r="G40" s="70"/>
      <c r="H40" s="70"/>
      <c r="I40" s="70"/>
      <c r="J40" s="70"/>
      <c r="K40" s="70"/>
      <c r="L40" s="70"/>
      <c r="M40" s="116">
        <f t="shared" ref="M40:V40" si="19">MIN(M30:M34)</f>
        <v>243.72800000000001</v>
      </c>
      <c r="N40" s="122">
        <f t="shared" si="19"/>
        <v>0.3252742559722408</v>
      </c>
      <c r="O40" s="122">
        <f t="shared" si="19"/>
        <v>0.3188904880282612</v>
      </c>
      <c r="P40" s="122">
        <f t="shared" si="19"/>
        <v>0.30224206349206351</v>
      </c>
      <c r="Q40" s="122">
        <f t="shared" si="19"/>
        <v>5.0046817248459954</v>
      </c>
      <c r="R40" s="122">
        <f t="shared" si="19"/>
        <v>3.5225899696487932</v>
      </c>
      <c r="S40" s="122">
        <f t="shared" si="19"/>
        <v>3.1247179487179486</v>
      </c>
      <c r="T40" s="122">
        <f t="shared" si="19"/>
        <v>13.609253731343284</v>
      </c>
      <c r="U40" s="122">
        <f t="shared" si="19"/>
        <v>8.3328307059629871</v>
      </c>
      <c r="V40" s="123">
        <f t="shared" si="19"/>
        <v>6.9938255033557049</v>
      </c>
      <c r="W40" s="90"/>
    </row>
    <row r="41" spans="2:23" x14ac:dyDescent="0.2">
      <c r="N41" s="33"/>
      <c r="O41" s="33"/>
      <c r="P41" s="33"/>
      <c r="Q41" s="33"/>
      <c r="R41" s="33"/>
      <c r="S41" s="33"/>
      <c r="T41" s="33"/>
      <c r="U41" s="33"/>
      <c r="V41" s="33"/>
    </row>
    <row r="42" spans="2:23" x14ac:dyDescent="0.2">
      <c r="B42" s="124" t="s">
        <v>395</v>
      </c>
      <c r="C42" s="125" t="s">
        <v>396</v>
      </c>
      <c r="D42" s="124"/>
      <c r="E42" s="124"/>
      <c r="F42" s="137">
        <f>F24</f>
        <v>390910.26</v>
      </c>
      <c r="G42" s="124"/>
      <c r="H42" s="124"/>
      <c r="I42" s="124"/>
      <c r="J42" s="124"/>
      <c r="K42" s="124"/>
      <c r="L42" s="124"/>
      <c r="M42" s="137">
        <f>M24</f>
        <v>434267.26</v>
      </c>
      <c r="N42" s="142">
        <f>IFERROR(IF(OR($M24/N24&lt;0,$M24/N24&gt;=100), "NM",$M24/N24), "N/A")</f>
        <v>2.8090459002820256</v>
      </c>
      <c r="O42" s="142">
        <f t="shared" ref="O42:S42" si="20">IFERROR(IF(OR($M24/O24&lt;0,$M24/O24&gt;=100), "NM",$M24/O24), "N/A")</f>
        <v>2.8163385111477499</v>
      </c>
      <c r="P42" s="142">
        <f t="shared" si="20"/>
        <v>2.7343092341240292</v>
      </c>
      <c r="Q42" s="142">
        <f t="shared" si="20"/>
        <v>17.381814761447327</v>
      </c>
      <c r="R42" s="142">
        <f t="shared" si="20"/>
        <v>17.238984557977055</v>
      </c>
      <c r="S42" s="142">
        <f t="shared" si="20"/>
        <v>16.645607727394687</v>
      </c>
      <c r="T42" s="142">
        <f>IFERROR(IF(OR($F24/T24&lt;0,$F24/T24&gt;=100), "NM", $F24/T24), "N/A")</f>
        <v>26.756349075975361</v>
      </c>
      <c r="U42" s="142">
        <f>IFERROR(IF(OR($F24/U24&lt;0,$F24/U24&gt;=100), "NM", $F24/U24), "N/A")</f>
        <v>26.427140346133047</v>
      </c>
      <c r="V42" s="142">
        <f>IFERROR(IF(OR($F24/V24&lt;0,$F24/V24&gt;=100), "NM", $F24/V24), "N/A")</f>
        <v>25.29672296641429</v>
      </c>
    </row>
  </sheetData>
  <mergeCells count="9">
    <mergeCell ref="Q9:S9"/>
    <mergeCell ref="T9:V9"/>
    <mergeCell ref="G28:L28"/>
    <mergeCell ref="W9:X9"/>
    <mergeCell ref="G9:L9"/>
    <mergeCell ref="N28:P28"/>
    <mergeCell ref="Q28:S28"/>
    <mergeCell ref="T28:V28"/>
    <mergeCell ref="N9:P9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3843-0448-437D-A9BB-5DD4B325E60E}">
  <dimension ref="B2"/>
  <sheetViews>
    <sheetView workbookViewId="0">
      <selection activeCell="C4" sqref="C4"/>
    </sheetView>
  </sheetViews>
  <sheetFormatPr defaultRowHeight="15" x14ac:dyDescent="0.25"/>
  <sheetData>
    <row r="2" spans="2:2" x14ac:dyDescent="0.25">
      <c r="B2" t="s">
        <v>406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8E66-0435-4F39-A907-C639CDFCBA8A}">
  <dimension ref="B2:M96"/>
  <sheetViews>
    <sheetView showGridLines="0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12" sqref="C12"/>
    </sheetView>
  </sheetViews>
  <sheetFormatPr defaultRowHeight="15" x14ac:dyDescent="0.25"/>
  <cols>
    <col min="1" max="1" width="2.7109375" customWidth="1"/>
    <col min="2" max="2" width="47.28515625" customWidth="1"/>
  </cols>
  <sheetData>
    <row r="2" spans="2:13" ht="20.25" x14ac:dyDescent="0.3">
      <c r="B2" s="14" t="s">
        <v>0</v>
      </c>
    </row>
    <row r="3" spans="2:13" x14ac:dyDescent="0.25">
      <c r="B3" s="1" t="s">
        <v>267</v>
      </c>
    </row>
    <row r="4" spans="2:13" x14ac:dyDescent="0.25">
      <c r="B4" s="3"/>
    </row>
    <row r="5" spans="2:13" x14ac:dyDescent="0.25">
      <c r="B5" s="2"/>
    </row>
    <row r="6" spans="2:13" x14ac:dyDescent="0.25">
      <c r="B6" s="2" t="s">
        <v>3</v>
      </c>
    </row>
    <row r="7" spans="2:13" x14ac:dyDescent="0.25">
      <c r="B7" s="2" t="s">
        <v>63</v>
      </c>
    </row>
    <row r="8" spans="2:13" x14ac:dyDescent="0.25">
      <c r="B8" s="2"/>
    </row>
    <row r="9" spans="2:13" x14ac:dyDescent="0.25">
      <c r="B9" s="85" t="s">
        <v>261</v>
      </c>
      <c r="C9" s="83"/>
      <c r="D9" s="84"/>
      <c r="E9" s="84"/>
      <c r="F9" s="84"/>
      <c r="G9" s="84"/>
      <c r="H9" s="84"/>
      <c r="I9" s="84"/>
      <c r="J9" s="84"/>
      <c r="K9" s="84"/>
      <c r="L9" s="84"/>
      <c r="M9" s="84"/>
    </row>
    <row r="10" spans="2:13" x14ac:dyDescent="0.25">
      <c r="B10" s="2"/>
      <c r="C10" s="30" t="s">
        <v>157</v>
      </c>
      <c r="D10" s="15" t="s">
        <v>158</v>
      </c>
      <c r="E10" s="15" t="s">
        <v>159</v>
      </c>
      <c r="F10" s="15" t="s">
        <v>160</v>
      </c>
      <c r="G10" s="15" t="s">
        <v>28</v>
      </c>
      <c r="H10" s="15" t="s">
        <v>33</v>
      </c>
      <c r="I10" s="15" t="s">
        <v>38</v>
      </c>
      <c r="J10" s="15" t="s">
        <v>39</v>
      </c>
      <c r="K10" s="15" t="s">
        <v>40</v>
      </c>
      <c r="L10" s="15" t="s">
        <v>41</v>
      </c>
      <c r="M10" s="15" t="s">
        <v>42</v>
      </c>
    </row>
    <row r="11" spans="2:13" x14ac:dyDescent="0.25">
      <c r="B11" s="16" t="s">
        <v>43</v>
      </c>
      <c r="C11" s="17">
        <v>132110</v>
      </c>
      <c r="D11" s="17">
        <v>151157</v>
      </c>
      <c r="E11" s="17">
        <v>157403</v>
      </c>
      <c r="F11" s="17">
        <v>152669</v>
      </c>
      <c r="G11" s="18">
        <f>F11*(1+Assumptions!G5)</f>
        <v>152669</v>
      </c>
      <c r="H11" s="18">
        <f>G11*(1+Assumptions!H5)</f>
        <v>152669</v>
      </c>
      <c r="I11" s="18">
        <f>H11*(1+Assumptions!I5)</f>
        <v>152669</v>
      </c>
      <c r="J11" s="18">
        <f>I11*(1+Assumptions!J5)</f>
        <v>152669</v>
      </c>
      <c r="K11" s="18">
        <f>J11*(1+Assumptions!K5)</f>
        <v>152669</v>
      </c>
      <c r="L11" s="18">
        <f>K11*(1+Assumptions!L5)</f>
        <v>152669</v>
      </c>
      <c r="M11" s="18">
        <f>L11*(1+Assumptions!M5)</f>
        <v>152669</v>
      </c>
    </row>
    <row r="12" spans="2:13" x14ac:dyDescent="0.25">
      <c r="B12" s="7" t="s">
        <v>66</v>
      </c>
      <c r="C12" s="17">
        <v>87257</v>
      </c>
      <c r="D12" s="17">
        <v>100325</v>
      </c>
      <c r="E12" s="17">
        <v>104625</v>
      </c>
      <c r="F12" s="17">
        <v>101709</v>
      </c>
      <c r="G12" s="18">
        <v>102848.52523000001</v>
      </c>
      <c r="H12" s="18">
        <v>106092.8025476</v>
      </c>
      <c r="I12" s="18">
        <v>109864.17932798222</v>
      </c>
      <c r="J12" s="18">
        <v>119898.11259695038</v>
      </c>
      <c r="K12" s="18">
        <v>124571.9979505065</v>
      </c>
      <c r="L12" s="18">
        <v>129427.81798473989</v>
      </c>
      <c r="M12" s="18">
        <v>134148.61467918329</v>
      </c>
    </row>
    <row r="13" spans="2:13" x14ac:dyDescent="0.25">
      <c r="B13" s="16" t="s">
        <v>58</v>
      </c>
      <c r="C13" s="17">
        <v>12866</v>
      </c>
      <c r="D13" s="17">
        <v>16433</v>
      </c>
      <c r="E13" s="17">
        <v>17105</v>
      </c>
      <c r="F13" s="17">
        <v>15143</v>
      </c>
      <c r="G13" s="18">
        <v>15201.470448310798</v>
      </c>
      <c r="H13" s="18">
        <v>15671.390138310895</v>
      </c>
      <c r="I13" s="18">
        <v>16229.596096873931</v>
      </c>
      <c r="J13" s="18">
        <v>16956.706487583073</v>
      </c>
      <c r="K13" s="18">
        <v>17603.851851721025</v>
      </c>
      <c r="L13" s="18">
        <v>18271.430530330104</v>
      </c>
      <c r="M13" s="18">
        <v>18912.229566092887</v>
      </c>
    </row>
    <row r="14" spans="2:13" x14ac:dyDescent="0.25">
      <c r="B14" s="2"/>
    </row>
    <row r="15" spans="2:13" x14ac:dyDescent="0.25">
      <c r="B15" s="85" t="s">
        <v>259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</row>
    <row r="16" spans="2:13" x14ac:dyDescent="0.25">
      <c r="B16" s="2"/>
      <c r="C16" s="30" t="s">
        <v>157</v>
      </c>
      <c r="D16" s="15" t="s">
        <v>158</v>
      </c>
      <c r="E16" s="15" t="s">
        <v>159</v>
      </c>
      <c r="F16" s="15" t="s">
        <v>160</v>
      </c>
      <c r="G16" s="15" t="s">
        <v>28</v>
      </c>
      <c r="H16" s="15" t="s">
        <v>33</v>
      </c>
      <c r="I16" s="15" t="s">
        <v>38</v>
      </c>
      <c r="J16" s="15" t="s">
        <v>39</v>
      </c>
      <c r="K16" s="15" t="s">
        <v>40</v>
      </c>
      <c r="L16" s="15" t="s">
        <v>41</v>
      </c>
      <c r="M16" s="15" t="s">
        <v>42</v>
      </c>
    </row>
    <row r="17" spans="2:13" x14ac:dyDescent="0.25">
      <c r="B17" s="16" t="s">
        <v>43</v>
      </c>
      <c r="C17" s="17">
        <v>132110</v>
      </c>
      <c r="D17" s="17">
        <v>151157</v>
      </c>
      <c r="E17" s="17">
        <v>157403</v>
      </c>
      <c r="F17" s="17">
        <v>152669</v>
      </c>
      <c r="G17" s="18">
        <f>F17*(1+Assumptions!G13)</f>
        <v>155149.79776541301</v>
      </c>
      <c r="H17" s="18">
        <f>G17*(1+Assumptions!H13)</f>
        <v>157670.90730042479</v>
      </c>
      <c r="I17" s="18">
        <f>H17*(1+Assumptions!I13)</f>
        <v>160232.98365188797</v>
      </c>
      <c r="J17" s="18">
        <f>I17*(1+Assumptions!J13)</f>
        <v>162836.69251085122</v>
      </c>
      <c r="K17" s="18">
        <f>J17*(1+Assumptions!K13)</f>
        <v>165482.71038552234</v>
      </c>
      <c r="L17" s="18">
        <f>K17*(1+Assumptions!L13)</f>
        <v>168171.72477704185</v>
      </c>
      <c r="M17" s="18">
        <f>L17*(1+Assumptions!M13)</f>
        <v>170904.43435811289</v>
      </c>
    </row>
    <row r="18" spans="2:13" x14ac:dyDescent="0.25">
      <c r="B18" s="16" t="s">
        <v>58</v>
      </c>
      <c r="C18" s="17">
        <v>12866</v>
      </c>
      <c r="D18" s="17">
        <v>16433</v>
      </c>
      <c r="E18" s="17">
        <v>17105</v>
      </c>
      <c r="F18" s="17">
        <v>15143</v>
      </c>
      <c r="G18" s="18">
        <v>15201.470448310798</v>
      </c>
      <c r="H18" s="18">
        <v>15671.390138310895</v>
      </c>
      <c r="I18" s="18">
        <v>16229.596096873931</v>
      </c>
      <c r="J18" s="18">
        <v>16956.706487583073</v>
      </c>
      <c r="K18" s="18">
        <v>17603.851851721025</v>
      </c>
      <c r="L18" s="18">
        <v>18271.430530330104</v>
      </c>
      <c r="M18" s="18">
        <v>18912.229566092887</v>
      </c>
    </row>
    <row r="19" spans="2:13" x14ac:dyDescent="0.25">
      <c r="B19" s="2"/>
    </row>
    <row r="20" spans="2:13" x14ac:dyDescent="0.25">
      <c r="B20" s="85" t="s">
        <v>260</v>
      </c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</row>
    <row r="21" spans="2:13" x14ac:dyDescent="0.25">
      <c r="C21" s="30" t="s">
        <v>157</v>
      </c>
      <c r="D21" s="15" t="s">
        <v>158</v>
      </c>
      <c r="E21" s="15" t="s">
        <v>159</v>
      </c>
      <c r="F21" s="15" t="s">
        <v>160</v>
      </c>
      <c r="G21" s="15" t="s">
        <v>28</v>
      </c>
      <c r="H21" s="15" t="s">
        <v>33</v>
      </c>
      <c r="I21" s="15" t="s">
        <v>38</v>
      </c>
      <c r="J21" s="15" t="s">
        <v>39</v>
      </c>
      <c r="K21" s="15" t="s">
        <v>40</v>
      </c>
      <c r="L21" s="15" t="s">
        <v>41</v>
      </c>
      <c r="M21" s="15" t="s">
        <v>42</v>
      </c>
    </row>
    <row r="22" spans="2:13" x14ac:dyDescent="0.25">
      <c r="B22" s="16" t="s">
        <v>48</v>
      </c>
      <c r="C22" s="18">
        <v>20406</v>
      </c>
      <c r="D22" s="18">
        <v>25426</v>
      </c>
      <c r="E22" s="18">
        <v>26494</v>
      </c>
      <c r="F22" s="18">
        <v>24362</v>
      </c>
      <c r="G22" s="18">
        <v>24581.388748549842</v>
      </c>
      <c r="H22" s="18">
        <v>25160.008850306345</v>
      </c>
      <c r="I22" s="18">
        <v>25851.227657452961</v>
      </c>
      <c r="J22" s="18">
        <v>21653.0568888585</v>
      </c>
      <c r="K22" s="18">
        <v>22287.340391020229</v>
      </c>
      <c r="L22" s="18">
        <v>22938.745544594105</v>
      </c>
      <c r="M22" s="18">
        <v>23550.778573677388</v>
      </c>
    </row>
    <row r="95" spans="2:2" x14ac:dyDescent="0.25">
      <c r="B95" s="2"/>
    </row>
    <row r="96" spans="2:2" x14ac:dyDescent="0.25">
      <c r="B9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Assumptions</vt:lpstr>
      <vt:lpstr>IS Scenario Analysis</vt:lpstr>
      <vt:lpstr>Annual Model</vt:lpstr>
      <vt:lpstr>Quarterly Model</vt:lpstr>
      <vt:lpstr>Key Metrics</vt:lpstr>
      <vt:lpstr>DCF</vt:lpstr>
      <vt:lpstr>WACC</vt:lpstr>
      <vt:lpstr>Comps</vt:lpstr>
      <vt:lpstr>Precedents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Doan</dc:creator>
  <cp:lastModifiedBy>Harrison Doan</cp:lastModifiedBy>
  <dcterms:created xsi:type="dcterms:W3CDTF">2024-12-19T18:58:42Z</dcterms:created>
  <dcterms:modified xsi:type="dcterms:W3CDTF">2026-06-15T20:38:56Z</dcterms:modified>
</cp:coreProperties>
</file>